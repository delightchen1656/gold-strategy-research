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88a5cb9c3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2776c95d796643c7"/>
    <x:sheet xmlns:r="http://schemas.openxmlformats.org/officeDocument/2006/relationships" name="事件研究" sheetId="2" r:id="R922158326aea4dcc"/>
    <x:sheet xmlns:r="http://schemas.openxmlformats.org/officeDocument/2006/relationships" name="黄金价格" sheetId="3" r:id="R0df2a983ef47437f"/>
    <x:sheet xmlns:r="http://schemas.openxmlformats.org/officeDocument/2006/relationships" name="政策利率" sheetId="4" r:id="R74906acef1104ad4"/>
    <x:sheet xmlns:r="http://schemas.openxmlformats.org/officeDocument/2006/relationships" name="来源与说明" sheetId="5" r:id="R3e295b0d1b3042fa"/>
    <x:sheet xmlns:r="http://schemas.openxmlformats.org/officeDocument/2006/relationships" name="检查" sheetId="6" r:id="Ra898e248db30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#,##0"/>
    <x:numFmt numFmtId="203" formatCode="0.00%"/>
    <x:numFmt numFmtId="204" formatCode="0"/>
    <x:numFmt numFmtId="205" formatCode="0.00%;[Red](0.00%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555555"/>
      <x:name val="Carlito"/>
    </x:font>
    <x:font>
      <x:sz val="11"/>
      <x:color rgb="FF555555"/>
      <x:name val="Carlito"/>
    </x:font>
    <x:font>
      <x:b/>
      <x:sz val="11"/>
      <x:color rgb="FF17365D"/>
      <x:name val="Carlito"/>
    </x:font>
    <x:font>
      <x:sz val="12"/>
      <x:color rgb="FF5B46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8E7"/>
      </x:patternFill>
    </x:fill>
  </x:fills>
  <x:borders count="15">
    <x:border/>
    <x:border>
      <x:right style="thin">
        <x:color rgb="FFA6A6A6"/>
      </x:right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</x:border>
    <x:border>
      <x:left style="thin">
        <x:color rgb="FF9EADBA"/>
      </x:left>
      <x:right style="thin">
        <x:color rgb="FFA6A6A6"/>
      </x:right>
      <x:top style="thin">
        <x:color rgb="FF9EADBA"/>
      </x:top>
    </x:border>
    <x:border>
      <x:left style="thin">
        <x:color rgb="FFA6A6A6"/>
      </x:left>
      <x:right style="thin">
        <x:color rgb="FFA6A6A6"/>
      </x:right>
      <x:top style="thin">
        <x:color rgb="FF9EADBA"/>
      </x:top>
    </x:border>
    <x:border>
      <x:left style="thin">
        <x:color rgb="FFA6A6A6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205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5" fontId="0" fillId="0" borderId="10" xfId="0" applyNumberFormat="1" applyFont="1" applyFill="1" applyBorder="1"/>
    <x:xf numFmtId="205" fontId="0" fillId="0" borderId="1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851c5c31864f58" /><Relationship Type="http://schemas.openxmlformats.org/officeDocument/2006/relationships/theme" Target="/xl/theme/theme1.xml" Id="Rfe6768850c744cab" /><Relationship Type="http://schemas.openxmlformats.org/officeDocument/2006/relationships/sharedStrings" Target="/xl/sharedStrings.xml" Id="Rf17d4ae35d9f485d" /><Relationship Type="http://schemas.openxmlformats.org/officeDocument/2006/relationships/worksheet" Target="/xl/worksheets/sheet1.xml" Id="R2776c95d796643c7" /><Relationship Type="http://schemas.openxmlformats.org/officeDocument/2006/relationships/worksheet" Target="/xl/worksheets/sheet2.xml" Id="R922158326aea4dcc" /><Relationship Type="http://schemas.openxmlformats.org/officeDocument/2006/relationships/worksheet" Target="/xl/worksheets/sheet3.xml" Id="R0df2a983ef47437f" /><Relationship Type="http://schemas.openxmlformats.org/officeDocument/2006/relationships/worksheet" Target="/xl/worksheets/sheet4.xml" Id="R74906acef1104ad4" /><Relationship Type="http://schemas.openxmlformats.org/officeDocument/2006/relationships/worksheet" Target="/xl/worksheets/sheet5.xml" Id="R3e295b0d1b3042fa" /><Relationship Type="http://schemas.openxmlformats.org/officeDocument/2006/relationships/worksheet" Target="/xl/worksheets/sheet6.xml" Id="Ra898e248db30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美元政策变化对黄金的事件研究（2018 至今）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27" t="str">
        <x:v>样本截至：政策 2026-08-31；黄金 2025-06-06。结论仅描述历史事件后的相关表现，不代表单一因果关系或投资建议。</x:v>
      </x:c>
    </x:row>
    <x:row r="4">
      <x:c r="A4" s="28" t="str">
        <x:v>政策分类</x:v>
      </x:c>
      <x:c r="B4" s="29" t="str">
        <x:v>事件数</x:v>
      </x:c>
      <x:c r="C4" s="29" t="str">
        <x:v>5日平均</x:v>
      </x:c>
      <x:c r="D4" s="30" t="str">
        <x:v>20日平均</x:v>
      </x:c>
      <x:c r="F4" s="14" t="str">
        <x:v>政策分类</x:v>
      </x:c>
      <x:c r="G4" s="15" t="str">
        <x:v>上涨</x:v>
      </x:c>
      <x:c r="H4" s="15" t="str">
        <x:v>震荡</x:v>
      </x:c>
      <x:c r="I4" s="16" t="str">
        <x:v>下跌</x:v>
      </x:c>
    </x:row>
    <x:row r="5">
      <x:c r="A5" s="31" t="str">
        <x:v>加息</x:v>
      </x:c>
      <x:c r="B5" s="32" t="n">
        <x:f>COUNTIF('事件研究'!$G$5:$G$74,A5)</x:f>
        <x:v>15</x:v>
      </x:c>
      <x:c r="C5" s="25" t="n">
        <x:f>AVERAGEIF('事件研究'!$G$5:$G$74,A5,'事件研究'!$P$5:$P$74)</x:f>
        <x:v>-0.0007176691606662751</x:v>
      </x:c>
      <x:c r="D5" s="33" t="n">
        <x:f>AVERAGEIF('事件研究'!$G$5:$G$74,A5,'事件研究'!$T$5:$T$74)</x:f>
        <x:v>0.00037948202366853143</x:v>
      </x:c>
      <x:c r="F5" t="str">
        <x:v>加息</x:v>
      </x:c>
      <x:c r="G5" t="n">
        <x:f>COUNTIFS('事件研究'!$G$5:$G$74,F5,'事件研究'!$X$5:$X$74,"上涨")</x:f>
        <x:v>7</x:v>
      </x:c>
      <x:c r="H5" t="n">
        <x:f>COUNTIFS('事件研究'!$G$5:$G$74,F5,'事件研究'!$X$5:$X$74,"震荡")</x:f>
        <x:v>1</x:v>
      </x:c>
      <x:c r="I5" t="n">
        <x:f>COUNTIFS('事件研究'!$G$5:$G$74,F5,'事件研究'!$X$5:$X$74,"下跌")</x:f>
        <x:v>7</x:v>
      </x:c>
    </x:row>
    <x:row r="6">
      <x:c r="A6" s="31" t="str">
        <x:v>降息</x:v>
      </x:c>
      <x:c r="B6" s="32" t="n">
        <x:f>COUNTIF('事件研究'!$G$5:$G$74,A6)</x:f>
        <x:v>11</x:v>
      </x:c>
      <x:c r="C6" s="25" t="n">
        <x:f>AVERAGEIF('事件研究'!$G$5:$G$74,A6,'事件研究'!$P$5:$P$74)</x:f>
        <x:v>0.01319451419552653</x:v>
      </x:c>
      <x:c r="D6" s="33" t="n">
        <x:f>AVERAGEIF('事件研究'!$G$5:$G$74,A6,'事件研究'!$T$5:$T$74)</x:f>
        <x:v>0.028663427564157726</x:v>
      </x:c>
      <x:c r="F6" t="str">
        <x:v>降息</x:v>
      </x:c>
      <x:c r="G6" t="n">
        <x:f>COUNTIFS('事件研究'!$G$5:$G$74,F6,'事件研究'!$X$5:$X$74,"上涨")</x:f>
        <x:v>4</x:v>
      </x:c>
      <x:c r="H6" t="n">
        <x:f>COUNTIFS('事件研究'!$G$5:$G$74,F6,'事件研究'!$X$5:$X$74,"震荡")</x:f>
        <x:v>1</x:v>
      </x:c>
      <x:c r="I6" t="n">
        <x:f>COUNTIFS('事件研究'!$G$5:$G$74,F6,'事件研究'!$X$5:$X$74,"下跌")</x:f>
        <x:v>3</x:v>
      </x:c>
    </x:row>
    <x:row r="7">
      <x:c r="A7" s="34" t="str">
        <x:v>暂停</x:v>
      </x:c>
      <x:c r="B7" s="35" t="n">
        <x:f>COUNTIF('事件研究'!$G$5:$G$74,A7)</x:f>
        <x:v>44</x:v>
      </x:c>
      <x:c r="C7" s="36" t="n">
        <x:f>AVERAGEIF('事件研究'!$G$5:$G$74,A7,'事件研究'!$P$5:$P$74)</x:f>
        <x:v>-0.004742462021944441</x:v>
      </x:c>
      <x:c r="D7" s="37" t="n">
        <x:f>AVERAGEIF('事件研究'!$G$5:$G$74,A7,'事件研究'!$T$5:$T$74)</x:f>
        <x:v>0.014169741181653093</x:v>
      </x:c>
      <x:c r="F7" t="str">
        <x:v>暂停</x:v>
      </x:c>
      <x:c r="G7" t="n">
        <x:f>COUNTIFS('事件研究'!$G$5:$G$74,F7,'事件研究'!$X$5:$X$74,"上涨")</x:f>
        <x:v>16</x:v>
      </x:c>
      <x:c r="H7" t="n">
        <x:f>COUNTIFS('事件研究'!$G$5:$G$74,F7,'事件研究'!$X$5:$X$74,"震荡")</x:f>
        <x:v>15</x:v>
      </x:c>
      <x:c r="I7" t="n">
        <x:f>COUNTIFS('事件研究'!$G$5:$G$74,F7,'事件研究'!$X$5:$X$74,"下跌")</x:f>
        <x:v>6</x:v>
      </x:c>
    </x:row>
    <x:row r="10">
      <x:c r="A10" s="40" t="str">
        <x:v>阅读要点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2"/>
    </x:row>
    <x:row r="11" ht="24" customHeight="1">
      <x:c r="A11" s="46" t="str">
        <x:f>"样本内加息事件 20 日平均收益为 "&amp;TEXT(D5,"0.00%")&amp;"，降息为 "&amp;TEXT(D6,"0.00%")&amp;"，暂停为 "&amp;TEXT(D7,"0.00%")&amp;"。请结合通胀、美元指数、实际利率与风险事件解释；利率方向本身不是黄金走势的充分条件。"</x:f>
        <x:v>样本内加息事件 20 日平均收益为 0.04%，降息为 2.87%，暂停为 1.42%。请结合通胀、美元指数、实际利率与风险事件解释；利率方向本身不是黄金走势的充分条件。</x:v>
      </x:c>
    </x:row>
    <x:row r="12" ht="24" customHeight="1"/>
    <x:row r="13" ht="24" customHeight="1"/>
    <x:row r="14" ht="24" customHeight="1"/>
    <x:row r="15" ht="24" customHeight="1"/>
  </x:sheetData>
  <x:mergeCells>
    <x:mergeCell ref="A1:L1"/>
    <x:mergeCell ref="A2:L2"/>
    <x:mergeCell ref="A10:L10"/>
    <x:mergeCell ref="A11:L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2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>
      <x:c r="A1" s="3" t="str">
        <x:v>FOMC 政策事件与黄金后续表现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23" t="str">
        <x:v>窗口为交易日；基准价取决议日或其后首个黄金交易日收盘。收益分类阈值：&gt;+1% 上涨，&lt;-1% 下跌，其余震荡。</x:v>
      </x:c>
    </x:row>
    <x:row r="4">
      <x:c r="A4" s="14" t="str">
        <x:v>序号</x:v>
      </x:c>
      <x:c r="B4" s="15" t="str">
        <x:v>决议日</x:v>
      </x:c>
      <x:c r="C4" s="15" t="str">
        <x:v>会议类型</x:v>
      </x:c>
      <x:c r="D4" s="15" t="str">
        <x:v>原上限</x:v>
      </x:c>
      <x:c r="E4" s="15" t="str">
        <x:v>新上限</x:v>
      </x:c>
      <x:c r="F4" s="15" t="str">
        <x:v>变动(bp)</x:v>
      </x:c>
      <x:c r="G4" s="15" t="str">
        <x:v>政策分类</x:v>
      </x:c>
      <x:c r="H4" s="15" t="str">
        <x:v>黄金行号</x:v>
      </x:c>
      <x:c r="I4" s="15" t="str">
        <x:v>基准交易日</x:v>
      </x:c>
      <x:c r="J4" s="15" t="str">
        <x:v>基准收盘</x:v>
      </x:c>
      <x:c r="K4" s="15" t="str">
        <x:v>1日价</x:v>
      </x:c>
      <x:c r="L4" s="15" t="str">
        <x:v>1日收益</x:v>
      </x:c>
      <x:c r="M4" s="15" t="str">
        <x:v>3日价</x:v>
      </x:c>
      <x:c r="N4" s="15" t="str">
        <x:v>3日收益</x:v>
      </x:c>
      <x:c r="O4" s="15" t="str">
        <x:v>5日价</x:v>
      </x:c>
      <x:c r="P4" s="15" t="str">
        <x:v>5日收益</x:v>
      </x:c>
      <x:c r="Q4" s="15" t="str">
        <x:v>10日价</x:v>
      </x:c>
      <x:c r="R4" s="15" t="str">
        <x:v>10日收益</x:v>
      </x:c>
      <x:c r="S4" s="15" t="str">
        <x:v>20日价</x:v>
      </x:c>
      <x:c r="T4" s="15" t="str">
        <x:v>20日收益</x:v>
      </x:c>
      <x:c r="U4" s="15" t="str">
        <x:v>60日价</x:v>
      </x:c>
      <x:c r="V4" s="15" t="str">
        <x:v>60日收益</x:v>
      </x:c>
      <x:c r="W4" s="15" t="str">
        <x:v>短期分类</x:v>
      </x:c>
      <x:c r="X4" s="15" t="str">
        <x:v>中期分类</x:v>
      </x:c>
      <x:c r="Y4" s="15" t="str">
        <x:v>综合走势</x:v>
      </x:c>
      <x:c r="Z4" s="16" t="str">
        <x:v>数据状态</x:v>
      </x:c>
    </x:row>
    <x:row r="5">
      <x:c r="A5" t="n">
        <x:v>1</x:v>
      </x:c>
      <x:c r="B5" s="17" t="n">
        <x:v>43131</x:v>
      </x:c>
      <x:c r="C5" t="str">
        <x:v>例会</x:v>
      </x:c>
      <x:c r="D5" s="20" t="n">
        <x:v>0.015</x:v>
      </x:c>
      <x:c r="E5" s="20" t="n">
        <x:v>0.015</x:v>
      </x:c>
      <x:c r="F5" s="24" t="n">
        <x:f>(E5-D5)*10000</x:f>
        <x:v>0</x:v>
      </x:c>
      <x:c r="G5" t="str">
        <x:f>IF(F5&gt;0,"加息",IF(F5&lt;0,"降息","暂停"))</x:f>
        <x:v>暂停</x:v>
      </x:c>
      <x:c r="H5" t="n">
        <x:v>44</x:v>
      </x:c>
      <x:c r="I5" s="17" t="n">
        <x:f>IF(H5="","",INDEX('黄金价格'!$A$3:$A$1940,H5-2))</x:f>
        <x:v>43131</x:v>
      </x:c>
      <x:c r="J5" s="18" t="n">
        <x:f>IF(H5="","",INDEX('黄金价格'!$E$3:$E$1940,H5-2))</x:f>
        <x:v>1344.94</x:v>
      </x:c>
      <x:c r="K5" s="18" t="n">
        <x:f>IF(OR(H5="",H5-2+1&gt;1938),"",INDEX('黄金价格'!$E$3:$E$1940,H5-2+1))</x:f>
        <x:v>1348.39</x:v>
      </x:c>
      <x:c r="L5" s="25" t="n">
        <x:f>IF(K5="","",K5/J5-1)</x:f>
        <x:v>0.0025651701934659155</x:v>
      </x:c>
      <x:c r="M5" s="18" t="n">
        <x:f>IF(OR(H5="",H5-2+3&gt;1938),"",INDEX('黄金价格'!$E$3:$E$1940,H5-2+3))</x:f>
        <x:v>1339.56</x:v>
      </x:c>
      <x:c r="N5" s="25" t="n">
        <x:f>IF(M5="","",M5/J5-1)</x:f>
        <x:v>-0.00400017844662226</x:v>
      </x:c>
      <x:c r="O5" s="18" t="n">
        <x:f>IF(OR(H5="",H5-2+5&gt;1938),"",INDEX('黄金价格'!$E$3:$E$1940,H5-2+5))</x:f>
        <x:v>1318.29</x:v>
      </x:c>
      <x:c r="P5" s="25" t="n">
        <x:f>IF(O5="","",O5/J5-1)</x:f>
        <x:v>-0.019815010335033634</x:v>
      </x:c>
      <x:c r="Q5" s="18" t="n">
        <x:f>IF(OR(H5="",H5-2+10&gt;1938),"",INDEX('黄金价格'!$E$3:$E$1940,H5-2+10))</x:f>
        <x:v>1350.14</x:v>
      </x:c>
      <x:c r="R5" s="25" t="n">
        <x:f>IF(Q5="","",Q5/J5-1)</x:f>
        <x:v>0.0038663434800065843</x:v>
      </x:c>
      <x:c r="S5" s="18" t="n">
        <x:f>IF(OR(H5="",H5-2+20&gt;1938),"",INDEX('黄金价格'!$E$3:$E$1940,H5-2+20))</x:f>
        <x:v>1318.08</x:v>
      </x:c>
      <x:c r="T5" s="25" t="n">
        <x:f>IF(S5="","",S5/J5-1)</x:f>
        <x:v>-0.019971151129418496</x:v>
      </x:c>
      <x:c r="U5" s="18" t="n">
        <x:f>IF(OR(H5="",H5-2+60&gt;1938),"",INDEX('黄金价格'!$E$3:$E$1940,H5-2+60))</x:f>
        <x:v>1317.01</x:v>
      </x:c>
      <x:c r="V5" s="25" t="n">
        <x:f>IF(U5="","",U5/J5-1)</x:f>
        <x:v>-0.020766725653189044</x:v>
      </x:c>
      <x:c r="W5" t="str">
        <x:f>IF(P5="","数据不足",IF(P5&gt;1%,"上涨",IF(P5&lt;-1%,"下跌","震荡")))</x:f>
        <x:v>下跌</x:v>
      </x:c>
      <x:c r="X5" t="str">
        <x:f>IF(T5="","数据不足",IF(T5&gt;1%,"上涨",IF(T5&lt;-1%,"下跌","震荡")))</x:f>
        <x:v>下跌</x:v>
      </x:c>
      <x:c r="Y5" t="str">
        <x:f>IF(OR(W5="数据不足",X5="数据不足"),"数据不足",IF(W5=X5,W5,IF(AND(P5&gt;0,T5&gt;0),"先弱后强",IF(AND(P5&lt;0,T5&lt;0),"先强后弱","方向反转"))))</x:f>
        <x:v>下跌</x:v>
      </x:c>
      <x:c r="Z5" t="str">
        <x:f>IF(H5="","无黄金数据",IF(V5="","窗口未满","完整"))</x:f>
        <x:v>完整</x:v>
      </x:c>
    </x:row>
    <x:row r="6">
      <x:c r="A6" t="n">
        <x:v>2</x:v>
      </x:c>
      <x:c r="B6" s="17" t="n">
        <x:v>43180</x:v>
      </x:c>
      <x:c r="C6" t="str">
        <x:v>例会</x:v>
      </x:c>
      <x:c r="D6" s="20" t="n">
        <x:v>0.015</x:v>
      </x:c>
      <x:c r="E6" s="20" t="n">
        <x:v>0.0175</x:v>
      </x:c>
      <x:c r="F6" s="24" t="n">
        <x:f>(E6-D6)*10000</x:f>
        <x:v>25.00000000000002</x:v>
      </x:c>
      <x:c r="G6" t="str">
        <x:f>IF(F6&gt;0,"加息",IF(F6&lt;0,"降息","暂停"))</x:f>
        <x:v>加息</x:v>
      </x:c>
      <x:c r="H6" t="n">
        <x:v>79</x:v>
      </x:c>
      <x:c r="I6" s="17" t="n">
        <x:f>IF(H6="","",INDEX('黄金价格'!$A$3:$A$1940,H6-2))</x:f>
        <x:v>43180</x:v>
      </x:c>
      <x:c r="J6" s="18" t="n">
        <x:f>IF(H6="","",INDEX('黄金价格'!$E$3:$E$1940,H6-2))</x:f>
        <x:v>1331.8</x:v>
      </x:c>
      <x:c r="K6" s="18" t="n">
        <x:f>IF(OR(H6="",H6-2+1&gt;1938),"",INDEX('黄金价格'!$E$3:$E$1940,H6-2+1))</x:f>
        <x:v>1328.61</x:v>
      </x:c>
      <x:c r="L6" s="25" t="n">
        <x:f>IF(K6="","",K6/J6-1)</x:f>
        <x:v>-0.0023952545427241567</x:v>
      </x:c>
      <x:c r="M6" s="18" t="n">
        <x:f>IF(OR(H6="",H6-2+3&gt;1938),"",INDEX('黄金价格'!$E$3:$E$1940,H6-2+3))</x:f>
        <x:v>1353.44</x:v>
      </x:c>
      <x:c r="N6" s="25" t="n">
        <x:f>IF(M6="","",M6/J6-1)</x:f>
        <x:v>0.01624868598888729</x:v>
      </x:c>
      <x:c r="O6" s="18" t="n">
        <x:f>IF(OR(H6="",H6-2+5&gt;1938),"",INDEX('黄金价格'!$E$3:$E$1940,H6-2+5))</x:f>
        <x:v>1324.83</x:v>
      </x:c>
      <x:c r="P6" s="25" t="n">
        <x:f>IF(O6="","",O6/J6-1)</x:f>
        <x:v>-0.005233518546328253</x:v>
      </x:c>
      <x:c r="Q6" s="18" t="n">
        <x:f>IF(OR(H6="",H6-2+10&gt;1938),"",INDEX('黄金价格'!$E$3:$E$1940,H6-2+10))</x:f>
        <x:v>1326.37</x:v>
      </x:c>
      <x:c r="R6" s="25" t="n">
        <x:f>IF(Q6="","",Q6/J6-1)</x:f>
        <x:v>-0.004077188767082185</x:v>
      </x:c>
      <x:c r="S6" s="18" t="n">
        <x:f>IF(OR(H6="",H6-2+20&gt;1938),"",INDEX('黄金价格'!$E$3:$E$1940,H6-2+20))</x:f>
        <x:v>1345.7</x:v>
      </x:c>
      <x:c r="T6" s="25" t="n">
        <x:f>IF(S6="","",S6/J6-1)</x:f>
        <x:v>0.010437002552935892</x:v>
      </x:c>
      <x:c r="U6" s="18" t="n">
        <x:f>IF(OR(H6="",H6-2+60&gt;1938),"",INDEX('黄金价格'!$E$3:$E$1940,H6-2+60))</x:f>
        <x:v>1302.25</x:v>
      </x:c>
      <x:c r="V6" s="25" t="n">
        <x:f>IF(U6="","",U6/J6-1)</x:f>
        <x:v>-0.022188016218651407</x:v>
      </x:c>
      <x:c r="W6" t="str">
        <x:f>IF(P6="","数据不足",IF(P6&gt;1%,"上涨",IF(P6&lt;-1%,"下跌","震荡")))</x:f>
        <x:v>震荡</x:v>
      </x:c>
      <x:c r="X6" t="str">
        <x:f>IF(T6="","数据不足",IF(T6&gt;1%,"上涨",IF(T6&lt;-1%,"下跌","震荡")))</x:f>
        <x:v>上涨</x:v>
      </x:c>
      <x:c r="Y6" t="str">
        <x:f>IF(OR(W6="数据不足",X6="数据不足"),"数据不足",IF(W6=X6,W6,IF(AND(P6&gt;0,T6&gt;0),"先弱后强",IF(AND(P6&lt;0,T6&lt;0),"先强后弱","方向反转"))))</x:f>
        <x:v>方向反转</x:v>
      </x:c>
      <x:c r="Z6" t="str">
        <x:f>IF(H6="","无黄金数据",IF(V6="","窗口未满","完整"))</x:f>
        <x:v>完整</x:v>
      </x:c>
    </x:row>
    <x:row r="7">
      <x:c r="A7" t="n">
        <x:v>3</x:v>
      </x:c>
      <x:c r="B7" s="17" t="n">
        <x:v>43222</x:v>
      </x:c>
      <x:c r="C7" t="str">
        <x:v>例会</x:v>
      </x:c>
      <x:c r="D7" s="20" t="n">
        <x:v>0.0175</x:v>
      </x:c>
      <x:c r="E7" s="20" t="n">
        <x:v>0.0175</x:v>
      </x:c>
      <x:c r="F7" s="24" t="n">
        <x:f>(E7-D7)*10000</x:f>
        <x:v>0</x:v>
      </x:c>
      <x:c r="G7" t="str">
        <x:f>IF(F7&gt;0,"加息",IF(F7&lt;0,"降息","暂停"))</x:f>
        <x:v>暂停</x:v>
      </x:c>
      <x:c r="H7" t="n">
        <x:v>108</x:v>
      </x:c>
      <x:c r="I7" s="17" t="n">
        <x:f>IF(H7="","",INDEX('黄金价格'!$A$3:$A$1940,H7-2))</x:f>
        <x:v>43222</x:v>
      </x:c>
      <x:c r="J7" s="18" t="n">
        <x:f>IF(H7="","",INDEX('黄金价格'!$E$3:$E$1940,H7-2))</x:f>
        <x:v>1304.92</x:v>
      </x:c>
      <x:c r="K7" s="18" t="n">
        <x:f>IF(OR(H7="",H7-2+1&gt;1938),"",INDEX('黄金价格'!$E$3:$E$1940,H7-2+1))</x:f>
        <x:v>1312.19</x:v>
      </x:c>
      <x:c r="L7" s="25" t="n">
        <x:f>IF(K7="","",K7/J7-1)</x:f>
        <x:v>0.005571222756950656</x:v>
      </x:c>
      <x:c r="M7" s="18" t="n">
        <x:f>IF(OR(H7="",H7-2+3&gt;1938),"",INDEX('黄金价格'!$E$3:$E$1940,H7-2+3))</x:f>
        <x:v>1314.2</x:v>
      </x:c>
      <x:c r="N7" s="25" t="n">
        <x:f>IF(M7="","",M7/J7-1)</x:f>
        <x:v>0.007111547068019419</x:v>
      </x:c>
      <x:c r="O7" s="18" t="n">
        <x:f>IF(OR(H7="",H7-2+5&gt;1938),"",INDEX('黄金价格'!$E$3:$E$1940,H7-2+5))</x:f>
        <x:v>1312.36</x:v>
      </x:c>
      <x:c r="P7" s="25" t="n">
        <x:f>IF(O7="","",O7/J7-1)</x:f>
        <x:v>0.005701498942463745</x:v>
      </x:c>
      <x:c r="Q7" s="18" t="n">
        <x:f>IF(OR(H7="",H7-2+10&gt;1938),"",INDEX('黄金价格'!$E$3:$E$1940,H7-2+10))</x:f>
        <x:v>1290.48</x:v>
      </x:c>
      <x:c r="R7" s="25" t="n">
        <x:f>IF(Q7="","",Q7/J7-1)</x:f>
        <x:v>-0.01106581246359939</x:v>
      </x:c>
      <x:c r="S7" s="18" t="n">
        <x:f>IF(OR(H7="",H7-2+20&gt;1938),"",INDEX('黄金价格'!$E$3:$E$1940,H7-2+20))</x:f>
        <x:v>1301.55</x:v>
      </x:c>
      <x:c r="T7" s="25" t="n">
        <x:f>IF(S7="","",S7/J7-1)</x:f>
        <x:v>-0.002582533795175257</x:v>
      </x:c>
      <x:c r="U7" s="18" t="n">
        <x:f>IF(OR(H7="",H7-2+60&gt;1938),"",INDEX('黄金价格'!$E$3:$E$1940,H7-2+60))</x:f>
        <x:v>1231.57</x:v>
      </x:c>
      <x:c r="V7" s="25" t="n">
        <x:f>IF(U7="","",U7/J7-1)</x:f>
        <x:v>-0.056210342396468826</x:v>
      </x:c>
      <x:c r="W7" t="str">
        <x:f>IF(P7="","数据不足",IF(P7&gt;1%,"上涨",IF(P7&lt;-1%,"下跌","震荡")))</x:f>
        <x:v>震荡</x:v>
      </x:c>
      <x:c r="X7" t="str">
        <x:f>IF(T7="","数据不足",IF(T7&gt;1%,"上涨",IF(T7&lt;-1%,"下跌","震荡")))</x:f>
        <x:v>震荡</x:v>
      </x:c>
      <x:c r="Y7" t="str">
        <x:f>IF(OR(W7="数据不足",X7="数据不足"),"数据不足",IF(W7=X7,W7,IF(AND(P7&gt;0,T7&gt;0),"先弱后强",IF(AND(P7&lt;0,T7&lt;0),"先强后弱","方向反转"))))</x:f>
        <x:v>震荡</x:v>
      </x:c>
      <x:c r="Z7" t="str">
        <x:f>IF(H7="","无黄金数据",IF(V7="","窗口未满","完整"))</x:f>
        <x:v>完整</x:v>
      </x:c>
    </x:row>
    <x:row r="8">
      <x:c r="A8" t="n">
        <x:v>4</x:v>
      </x:c>
      <x:c r="B8" s="17" t="n">
        <x:v>43264</x:v>
      </x:c>
      <x:c r="C8" t="str">
        <x:v>例会</x:v>
      </x:c>
      <x:c r="D8" s="20" t="n">
        <x:v>0.0175</x:v>
      </x:c>
      <x:c r="E8" s="20" t="n">
        <x:v>0.02</x:v>
      </x:c>
      <x:c r="F8" s="24" t="n">
        <x:f>(E8-D8)*10000</x:f>
        <x:v>24.999999999999986</x:v>
      </x:c>
      <x:c r="G8" t="str">
        <x:f>IF(F8&gt;0,"加息",IF(F8&lt;0,"降息","暂停"))</x:f>
        <x:v>加息</x:v>
      </x:c>
      <x:c r="H8" t="n">
        <x:v>138</x:v>
      </x:c>
      <x:c r="I8" s="17" t="n">
        <x:f>IF(H8="","",INDEX('黄金价格'!$A$3:$A$1940,H8-2))</x:f>
        <x:v>43264</x:v>
      </x:c>
      <x:c r="J8" s="18" t="n">
        <x:f>IF(H8="","",INDEX('黄金价格'!$E$3:$E$1940,H8-2))</x:f>
        <x:v>1299.46</x:v>
      </x:c>
      <x:c r="K8" s="18" t="n">
        <x:f>IF(OR(H8="",H8-2+1&gt;1938),"",INDEX('黄金价格'!$E$3:$E$1940,H8-2+1))</x:f>
        <x:v>1302.25</x:v>
      </x:c>
      <x:c r="L8" s="25" t="n">
        <x:f>IF(K8="","",K8/J8-1)</x:f>
        <x:v>0.0021470456959045148</x:v>
      </x:c>
      <x:c r="M8" s="18" t="n">
        <x:f>IF(OR(H8="",H8-2+3&gt;1938),"",INDEX('黄金价格'!$E$3:$E$1940,H8-2+3))</x:f>
        <x:v>1278.2</x:v>
      </x:c>
      <x:c r="N8" s="25" t="n">
        <x:f>IF(M8="","",M8/J8-1)</x:f>
        <x:v>-0.016360642112877688</x:v>
      </x:c>
      <x:c r="O8" s="18" t="n">
        <x:f>IF(OR(H8="",H8-2+5&gt;1938),"",INDEX('黄金价格'!$E$3:$E$1940,H8-2+5))</x:f>
        <x:v>1267.56</x:v>
      </x:c>
      <x:c r="P8" s="25" t="n">
        <x:f>IF(O8="","",O8/J8-1)</x:f>
        <x:v>-0.024548658673602897</x:v>
      </x:c>
      <x:c r="Q8" s="18" t="n">
        <x:f>IF(OR(H8="",H8-2+10&gt;1938),"",INDEX('黄金价格'!$E$3:$E$1940,H8-2+10))</x:f>
        <x:v>1251.79</x:v>
      </x:c>
      <x:c r="R8" s="25" t="n">
        <x:f>IF(Q8="","",Q8/J8-1)</x:f>
        <x:v>-0.03668446893324928</x:v>
      </x:c>
      <x:c r="S8" s="18" t="n">
        <x:f>IF(OR(H8="",H8-2+20&gt;1938),"",INDEX('黄金价格'!$E$3:$E$1940,H8-2+20))</x:f>
        <x:v>1242.18</x:v>
      </x:c>
      <x:c r="T8" s="25" t="n">
        <x:f>IF(S8="","",S8/J8-1)</x:f>
        <x:v>-0.0440798485524756</x:v>
      </x:c>
      <x:c r="U8" s="18" t="n">
        <x:f>IF(OR(H8="",H8-2+60&gt;1938),"",INDEX('黄金价格'!$E$3:$E$1940,H8-2+60))</x:f>
        <x:v>1196.48</x:v>
      </x:c>
      <x:c r="V8" s="25" t="n">
        <x:f>IF(U8="","",U8/J8-1)</x:f>
        <x:v>-0.07924830314130482</x:v>
      </x:c>
      <x:c r="W8" t="str">
        <x:f>IF(P8="","数据不足",IF(P8&gt;1%,"上涨",IF(P8&lt;-1%,"下跌","震荡")))</x:f>
        <x:v>下跌</x:v>
      </x:c>
      <x:c r="X8" t="str">
        <x:f>IF(T8="","数据不足",IF(T8&gt;1%,"上涨",IF(T8&lt;-1%,"下跌","震荡")))</x:f>
        <x:v>下跌</x:v>
      </x:c>
      <x:c r="Y8" t="str">
        <x:f>IF(OR(W8="数据不足",X8="数据不足"),"数据不足",IF(W8=X8,W8,IF(AND(P8&gt;0,T8&gt;0),"先弱后强",IF(AND(P8&lt;0,T8&lt;0),"先强后弱","方向反转"))))</x:f>
        <x:v>下跌</x:v>
      </x:c>
      <x:c r="Z8" t="str">
        <x:f>IF(H8="","无黄金数据",IF(V8="","窗口未满","完整"))</x:f>
        <x:v>完整</x:v>
      </x:c>
    </x:row>
    <x:row r="9">
      <x:c r="A9" t="n">
        <x:v>5</x:v>
      </x:c>
      <x:c r="B9" s="17" t="n">
        <x:v>43313</x:v>
      </x:c>
      <x:c r="C9" t="str">
        <x:v>例会</x:v>
      </x:c>
      <x:c r="D9" s="20" t="n">
        <x:v>0.02</x:v>
      </x:c>
      <x:c r="E9" s="20" t="n">
        <x:v>0.02</x:v>
      </x:c>
      <x:c r="F9" s="24" t="n">
        <x:f>(E9-D9)*10000</x:f>
        <x:v>0</x:v>
      </x:c>
      <x:c r="G9" t="str">
        <x:f>IF(F9&gt;0,"加息",IF(F9&lt;0,"降息","暂停"))</x:f>
        <x:v>暂停</x:v>
      </x:c>
      <x:c r="H9" t="n">
        <x:v>173</x:v>
      </x:c>
      <x:c r="I9" s="17" t="n">
        <x:f>IF(H9="","",INDEX('黄金价格'!$A$3:$A$1940,H9-2))</x:f>
        <x:v>43313</x:v>
      </x:c>
      <x:c r="J9" s="18" t="n">
        <x:f>IF(H9="","",INDEX('黄金价格'!$E$3:$E$1940,H9-2))</x:f>
        <x:v>1216.05</x:v>
      </x:c>
      <x:c r="K9" s="18" t="n">
        <x:f>IF(OR(H9="",H9-2+1&gt;1938),"",INDEX('黄金价格'!$E$3:$E$1940,H9-2+1))</x:f>
        <x:v>1207.72</x:v>
      </x:c>
      <x:c r="L9" s="25" t="n">
        <x:f>IF(K9="","",K9/J9-1)</x:f>
        <x:v>-0.00685004728423988</x:v>
      </x:c>
      <x:c r="M9" s="18" t="n">
        <x:f>IF(OR(H9="",H9-2+3&gt;1938),"",INDEX('黄金价格'!$E$3:$E$1940,H9-2+3))</x:f>
        <x:v>1207.1</x:v>
      </x:c>
      <x:c r="N9" s="25" t="n">
        <x:f>IF(M9="","",M9/J9-1)</x:f>
        <x:v>-0.00735989474117027</x:v>
      </x:c>
      <x:c r="O9" s="18" t="n">
        <x:f>IF(OR(H9="",H9-2+5&gt;1938),"",INDEX('黄金价格'!$E$3:$E$1940,H9-2+5))</x:f>
        <x:v>1213.38</x:v>
      </x:c>
      <x:c r="P9" s="25" t="n">
        <x:f>IF(O9="","",O9/J9-1)</x:f>
        <x:v>-0.0021956334032317004</x:v>
      </x:c>
      <x:c r="Q9" s="18" t="n">
        <x:f>IF(OR(H9="",H9-2+10&gt;1938),"",INDEX('黄金价格'!$E$3:$E$1940,H9-2+10))</x:f>
        <x:v>1174.65</x:v>
      </x:c>
      <x:c r="R9" s="25" t="n">
        <x:f>IF(Q9="","",Q9/J9-1)</x:f>
        <x:v>-0.03404465276921165</x:v>
      </x:c>
      <x:c r="S9" s="18" t="n">
        <x:f>IF(OR(H9="",H9-2+20&gt;1938),"",INDEX('黄金价格'!$E$3:$E$1940,H9-2+20))</x:f>
        <x:v>1206.53</x:v>
      </x:c>
      <x:c r="T9" s="25" t="n">
        <x:f>IF(S9="","",S9/J9-1)</x:f>
        <x:v>-0.007828625467702799</x:v>
      </x:c>
      <x:c r="U9" s="18" t="n">
        <x:f>IF(OR(H9="",H9-2+60&gt;1938),"",INDEX('黄金价格'!$E$3:$E$1940,H9-2+60))</x:f>
        <x:v>1233.33</x:v>
      </x:c>
      <x:c r="V9" s="25" t="n">
        <x:f>IF(U9="","",U9/J9-1)</x:f>
        <x:v>0.014209942025410038</x:v>
      </x:c>
      <x:c r="W9" t="str">
        <x:f>IF(P9="","数据不足",IF(P9&gt;1%,"上涨",IF(P9&lt;-1%,"下跌","震荡")))</x:f>
        <x:v>震荡</x:v>
      </x:c>
      <x:c r="X9" t="str">
        <x:f>IF(T9="","数据不足",IF(T9&gt;1%,"上涨",IF(T9&lt;-1%,"下跌","震荡")))</x:f>
        <x:v>震荡</x:v>
      </x:c>
      <x:c r="Y9" t="str">
        <x:f>IF(OR(W9="数据不足",X9="数据不足"),"数据不足",IF(W9=X9,W9,IF(AND(P9&gt;0,T9&gt;0),"先弱后强",IF(AND(P9&lt;0,T9&lt;0),"先强后弱","方向反转"))))</x:f>
        <x:v>震荡</x:v>
      </x:c>
      <x:c r="Z9" t="str">
        <x:f>IF(H9="","无黄金数据",IF(V9="","窗口未满","完整"))</x:f>
        <x:v>完整</x:v>
      </x:c>
    </x:row>
    <x:row r="10">
      <x:c r="A10" t="n">
        <x:v>6</x:v>
      </x:c>
      <x:c r="B10" s="17" t="n">
        <x:v>43369</x:v>
      </x:c>
      <x:c r="C10" t="str">
        <x:v>例会</x:v>
      </x:c>
      <x:c r="D10" s="20" t="n">
        <x:v>0.02</x:v>
      </x:c>
      <x:c r="E10" s="20" t="n">
        <x:v>0.0225</x:v>
      </x:c>
      <x:c r="F10" s="24" t="n">
        <x:f>(E10-D10)*10000</x:f>
        <x:v>24.999999999999986</x:v>
      </x:c>
      <x:c r="G10" t="str">
        <x:f>IF(F10&gt;0,"加息",IF(F10&lt;0,"降息","暂停"))</x:f>
        <x:v>加息</x:v>
      </x:c>
      <x:c r="H10" t="n">
        <x:v>213</x:v>
      </x:c>
      <x:c r="I10" s="17" t="n">
        <x:f>IF(H10="","",INDEX('黄金价格'!$A$3:$A$1940,H10-2))</x:f>
        <x:v>43369</x:v>
      </x:c>
      <x:c r="J10" s="18" t="n">
        <x:f>IF(H10="","",INDEX('黄金价格'!$E$3:$E$1940,H10-2))</x:f>
        <x:v>1194.22</x:v>
      </x:c>
      <x:c r="K10" s="18" t="n">
        <x:f>IF(OR(H10="",H10-2+1&gt;1938),"",INDEX('黄金价格'!$E$3:$E$1940,H10-2+1))</x:f>
        <x:v>1182.52</x:v>
      </x:c>
      <x:c r="L10" s="25" t="n">
        <x:f>IF(K10="","",K10/J10-1)</x:f>
        <x:v>-0.009797189797524752</x:v>
      </x:c>
      <x:c r="M10" s="18" t="n">
        <x:f>IF(OR(H10="",H10-2+3&gt;1938),"",INDEX('黄金价格'!$E$3:$E$1940,H10-2+3))</x:f>
        <x:v>1188.66</x:v>
      </x:c>
      <x:c r="N10" s="25" t="n">
        <x:f>IF(M10="","",M10/J10-1)</x:f>
        <x:v>-0.004655758570447643</x:v>
      </x:c>
      <x:c r="O10" s="18" t="n">
        <x:f>IF(OR(H10="",H10-2+5&gt;1938),"",INDEX('黄金价格'!$E$3:$E$1940,H10-2+5))</x:f>
        <x:v>1196.85</x:v>
      </x:c>
      <x:c r="P10" s="25" t="n">
        <x:f>IF(O10="","",O10/J10-1)</x:f>
        <x:v>0.0022022742878196055</x:v>
      </x:c>
      <x:c r="Q10" s="18" t="n">
        <x:f>IF(OR(H10="",H10-2+10&gt;1938),"",INDEX('黄金价格'!$E$3:$E$1940,H10-2+10))</x:f>
        <x:v>1194.03</x:v>
      </x:c>
      <x:c r="R10" s="25" t="n">
        <x:f>IF(Q10="","",Q10/J10-1)</x:f>
        <x:v>-0.0001590996633786812</x:v>
      </x:c>
      <x:c r="S10" s="18" t="n">
        <x:f>IF(OR(H10="",H10-2+20&gt;1938),"",INDEX('黄金价格'!$E$3:$E$1940,H10-2+20))</x:f>
        <x:v>1233.33</x:v>
      </x:c>
      <x:c r="T10" s="25" t="n">
        <x:f>IF(S10="","",S10/J10-1)</x:f>
        <x:v>0.032749409656512185</x:v>
      </x:c>
      <x:c r="U10" s="18" t="n">
        <x:f>IF(OR(H10="",H10-2+60&gt;1938),"",INDEX('黄金价格'!$E$3:$E$1940,H10-2+60))</x:f>
        <x:v>1242.98</x:v>
      </x:c>
      <x:c r="V10" s="25" t="n">
        <x:f>IF(U10="","",U10/J10-1)</x:f>
        <x:v>0.0408299978228468</x:v>
      </x:c>
      <x:c r="W10" t="str">
        <x:f>IF(P10="","数据不足",IF(P10&gt;1%,"上涨",IF(P10&lt;-1%,"下跌","震荡")))</x:f>
        <x:v>震荡</x:v>
      </x:c>
      <x:c r="X10" t="str">
        <x:f>IF(T10="","数据不足",IF(T10&gt;1%,"上涨",IF(T10&lt;-1%,"下跌","震荡")))</x:f>
        <x:v>上涨</x:v>
      </x:c>
      <x:c r="Y10" t="str">
        <x:f>IF(OR(W10="数据不足",X10="数据不足"),"数据不足",IF(W10=X10,W10,IF(AND(P10&gt;0,T10&gt;0),"先弱后强",IF(AND(P10&lt;0,T10&lt;0),"先强后弱","方向反转"))))</x:f>
        <x:v>先弱后强</x:v>
      </x:c>
      <x:c r="Z10" t="str">
        <x:f>IF(H10="","无黄金数据",IF(V10="","窗口未满","完整"))</x:f>
        <x:v>完整</x:v>
      </x:c>
    </x:row>
    <x:row r="11">
      <x:c r="A11" t="n">
        <x:v>7</x:v>
      </x:c>
      <x:c r="B11" s="17" t="n">
        <x:v>43412</x:v>
      </x:c>
      <x:c r="C11" t="str">
        <x:v>例会</x:v>
      </x:c>
      <x:c r="D11" s="20" t="n">
        <x:v>0.0225</x:v>
      </x:c>
      <x:c r="E11" s="20" t="n">
        <x:v>0.0225</x:v>
      </x:c>
      <x:c r="F11" s="24" t="n">
        <x:f>(E11-D11)*10000</x:f>
        <x:v>0</x:v>
      </x:c>
      <x:c r="G11" t="str">
        <x:f>IF(F11&gt;0,"加息",IF(F11&lt;0,"降息","暂停"))</x:f>
        <x:v>暂停</x:v>
      </x:c>
      <x:c r="H11" t="n">
        <x:v>244</x:v>
      </x:c>
      <x:c r="I11" s="17" t="n">
        <x:f>IF(H11="","",INDEX('黄金价格'!$A$3:$A$1940,H11-2))</x:f>
        <x:v>43412</x:v>
      </x:c>
      <x:c r="J11" s="18" t="n">
        <x:f>IF(H11="","",INDEX('黄金价格'!$E$3:$E$1940,H11-2))</x:f>
        <x:v>1223.37</x:v>
      </x:c>
      <x:c r="K11" s="18" t="n">
        <x:f>IF(OR(H11="",H11-2+1&gt;1938),"",INDEX('黄金价格'!$E$3:$E$1940,H11-2+1))</x:f>
        <x:v>1209.32</x:v>
      </x:c>
      <x:c r="L11" s="25" t="n">
        <x:f>IF(K11="","",K11/J11-1)</x:f>
        <x:v>-0.011484669396830016</x:v>
      </x:c>
      <x:c r="M11" s="18" t="n">
        <x:f>IF(OR(H11="",H11-2+3&gt;1938),"",INDEX('黄金价格'!$E$3:$E$1940,H11-2+3))</x:f>
        <x:v>1201.99</x:v>
      </x:c>
      <x:c r="N11" s="25" t="n">
        <x:f>IF(M11="","",M11/J11-1)</x:f>
        <x:v>-0.017476315423788247</x:v>
      </x:c>
      <x:c r="O11" s="18" t="n">
        <x:f>IF(OR(H11="",H11-2+5&gt;1938),"",INDEX('黄金价格'!$E$3:$E$1940,H11-2+5))</x:f>
        <x:v>1212.69</x:v>
      </x:c>
      <x:c r="P11" s="25" t="n">
        <x:f>IF(O11="","",O11/J11-1)</x:f>
        <x:v>-0.008729983569974564</x:v>
      </x:c>
      <x:c r="Q11" s="18" t="n">
        <x:f>IF(OR(H11="",H11-2+10&gt;1938),"",INDEX('黄金价格'!$E$3:$E$1940,H11-2+10))</x:f>
        <x:v>1226.96</x:v>
      </x:c>
      <x:c r="R11" s="25" t="n">
        <x:f>IF(Q11="","",Q11/J11-1)</x:f>
        <x:v>0.00293451694908331</x:v>
      </x:c>
      <x:c r="S11" s="18" t="n">
        <x:f>IF(OR(H11="",H11-2+20&gt;1938),"",INDEX('黄金价格'!$E$3:$E$1940,H11-2+20))</x:f>
        <x:v>1237.76</x:v>
      </x:c>
      <x:c r="T11" s="25" t="n">
        <x:f>IF(S11="","",S11/J11-1)</x:f>
        <x:v>0.011762590222091474</x:v>
      </x:c>
      <x:c r="U11" s="18" t="n">
        <x:f>IF(OR(H11="",H11-2+60&gt;1938),"",INDEX('黄金价格'!$E$3:$E$1940,H11-2+60))</x:f>
        <x:v>1311.96</x:v>
      </x:c>
      <x:c r="V11" s="25" t="n">
        <x:f>IF(U11="","",U11/J11-1)</x:f>
        <x:v>0.07241472326442544</x:v>
      </x:c>
      <x:c r="W11" t="str">
        <x:f>IF(P11="","数据不足",IF(P11&gt;1%,"上涨",IF(P11&lt;-1%,"下跌","震荡")))</x:f>
        <x:v>震荡</x:v>
      </x:c>
      <x:c r="X11" t="str">
        <x:f>IF(T11="","数据不足",IF(T11&gt;1%,"上涨",IF(T11&lt;-1%,"下跌","震荡")))</x:f>
        <x:v>上涨</x:v>
      </x:c>
      <x:c r="Y11" t="str">
        <x:f>IF(OR(W11="数据不足",X11="数据不足"),"数据不足",IF(W11=X11,W11,IF(AND(P11&gt;0,T11&gt;0),"先弱后强",IF(AND(P11&lt;0,T11&lt;0),"先强后弱","方向反转"))))</x:f>
        <x:v>方向反转</x:v>
      </x:c>
      <x:c r="Z11" t="str">
        <x:f>IF(H11="","无黄金数据",IF(V11="","窗口未满","完整"))</x:f>
        <x:v>完整</x:v>
      </x:c>
    </x:row>
    <x:row r="12">
      <x:c r="A12" t="n">
        <x:v>8</x:v>
      </x:c>
      <x:c r="B12" s="17" t="n">
        <x:v>43453</x:v>
      </x:c>
      <x:c r="C12" t="str">
        <x:v>例会</x:v>
      </x:c>
      <x:c r="D12" s="20" t="n">
        <x:v>0.0225</x:v>
      </x:c>
      <x:c r="E12" s="20" t="n">
        <x:v>0.025</x:v>
      </x:c>
      <x:c r="F12" s="24" t="n">
        <x:f>(E12-D12)*10000</x:f>
        <x:v>25.00000000000002</x:v>
      </x:c>
      <x:c r="G12" t="str">
        <x:f>IF(F12&gt;0,"加息",IF(F12&lt;0,"降息","暂停"))</x:f>
        <x:v>加息</x:v>
      </x:c>
      <x:c r="H12" t="n">
        <x:v>273</x:v>
      </x:c>
      <x:c r="I12" s="17" t="n">
        <x:f>IF(H12="","",INDEX('黄金价格'!$A$3:$A$1940,H12-2))</x:f>
        <x:v>43453</x:v>
      </x:c>
      <x:c r="J12" s="18" t="n">
        <x:f>IF(H12="","",INDEX('黄金价格'!$E$3:$E$1940,H12-2))</x:f>
        <x:v>1242.98</x:v>
      </x:c>
      <x:c r="K12" s="18" t="n">
        <x:f>IF(OR(H12="",H12-2+1&gt;1938),"",INDEX('黄金价格'!$E$3:$E$1940,H12-2+1))</x:f>
        <x:v>1259.69</x:v>
      </x:c>
      <x:c r="L12" s="25" t="n">
        <x:f>IF(K12="","",K12/J12-1)</x:f>
        <x:v>0.013443498688635369</x:v>
      </x:c>
      <x:c r="M12" s="18" t="n">
        <x:f>IF(OR(H12="",H12-2+3&gt;1938),"",INDEX('黄金价格'!$E$3:$E$1940,H12-2+3))</x:f>
        <x:v>1268.3</x:v>
      </x:c>
      <x:c r="N12" s="25" t="n">
        <x:f>IF(M12="","",M12/J12-1)</x:f>
        <x:v>0.02037040016733971</x:v>
      </x:c>
      <x:c r="O12" s="18" t="n">
        <x:f>IF(OR(H12="",H12-2+5&gt;1938),"",INDEX('黄金价格'!$E$3:$E$1940,H12-2+5))</x:f>
        <x:v>1275.5</x:v>
      </x:c>
      <x:c r="P12" s="25" t="n">
        <x:f>IF(O12="","",O12/J12-1)</x:f>
        <x:v>0.026162931020611735</x:v>
      </x:c>
      <x:c r="Q12" s="18" t="n">
        <x:f>IF(OR(H12="",H12-2+10&gt;1938),"",INDEX('黄金价格'!$E$3:$E$1940,H12-2+10))</x:f>
        <x:v>1284.53</x:v>
      </x:c>
      <x:c r="R12" s="25" t="n">
        <x:f>IF(Q12="","",Q12/J12-1)</x:f>
        <x:v>0.03342773013242373</x:v>
      </x:c>
      <x:c r="S12" s="18" t="n">
        <x:f>IF(OR(H12="",H12-2+20&gt;1938),"",INDEX('黄金价格'!$E$3:$E$1940,H12-2+20))</x:f>
        <x:v>1281.18</x:v>
      </x:c>
      <x:c r="T12" s="25" t="n">
        <x:f>IF(S12="","",S12/J12-1)</x:f>
        <x:v>0.03073259424930419</x:v>
      </x:c>
      <x:c r="U12" s="18" t="n">
        <x:f>IF(OR(H12="",H12-2+60&gt;1938),"",INDEX('黄金价格'!$E$3:$E$1940,H12-2+60))</x:f>
        <x:v>1301.92</x:v>
      </x:c>
      <x:c r="V12" s="25" t="n">
        <x:f>IF(U12="","",U12/J12-1)</x:f>
        <x:v>0.04741830117942358</x:v>
      </x:c>
      <x:c r="W12" t="str">
        <x:f>IF(P12="","数据不足",IF(P12&gt;1%,"上涨",IF(P12&lt;-1%,"下跌","震荡")))</x:f>
        <x:v>上涨</x:v>
      </x:c>
      <x:c r="X12" t="str">
        <x:f>IF(T12="","数据不足",IF(T12&gt;1%,"上涨",IF(T12&lt;-1%,"下跌","震荡")))</x:f>
        <x:v>上涨</x:v>
      </x:c>
      <x:c r="Y12" t="str">
        <x:f>IF(OR(W12="数据不足",X12="数据不足"),"数据不足",IF(W12=X12,W12,IF(AND(P12&gt;0,T12&gt;0),"先弱后强",IF(AND(P12&lt;0,T12&lt;0),"先强后弱","方向反转"))))</x:f>
        <x:v>上涨</x:v>
      </x:c>
      <x:c r="Z12" t="str">
        <x:f>IF(H12="","无黄金数据",IF(V12="","窗口未满","完整"))</x:f>
        <x:v>完整</x:v>
      </x:c>
    </x:row>
    <x:row r="13">
      <x:c r="A13" t="n">
        <x:v>9</x:v>
      </x:c>
      <x:c r="B13" s="17" t="n">
        <x:v>43495</x:v>
      </x:c>
      <x:c r="C13" t="str">
        <x:v>例会</x:v>
      </x:c>
      <x:c r="D13" s="20" t="n">
        <x:v>0.025</x:v>
      </x:c>
      <x:c r="E13" s="20" t="n">
        <x:v>0.025</x:v>
      </x:c>
      <x:c r="F13" s="24" t="n">
        <x:f>(E13-D13)*10000</x:f>
        <x:v>0</x:v>
      </x:c>
      <x:c r="G13" t="str">
        <x:f>IF(F13&gt;0,"加息",IF(F13&lt;0,"降息","暂停"))</x:f>
        <x:v>暂停</x:v>
      </x:c>
      <x:c r="H13" t="n">
        <x:v>301</x:v>
      </x:c>
      <x:c r="I13" s="17" t="n">
        <x:f>IF(H13="","",INDEX('黄金价格'!$A$3:$A$1940,H13-2))</x:f>
        <x:v>43495</x:v>
      </x:c>
      <x:c r="J13" s="18" t="n">
        <x:f>IF(H13="","",INDEX('黄金价格'!$E$3:$E$1940,H13-2))</x:f>
        <x:v>1319.59</x:v>
      </x:c>
      <x:c r="K13" s="18" t="n">
        <x:f>IF(OR(H13="",H13-2+1&gt;1938),"",INDEX('黄金价格'!$E$3:$E$1940,H13-2+1))</x:f>
        <x:v>1321.05</x:v>
      </x:c>
      <x:c r="L13" s="25" t="n">
        <x:f>IF(K13="","",K13/J13-1)</x:f>
        <x:v>0.001106404261929761</x:v>
      </x:c>
      <x:c r="M13" s="18" t="n">
        <x:f>IF(OR(H13="",H13-2+3&gt;1938),"",INDEX('黄金价格'!$E$3:$E$1940,H13-2+3))</x:f>
        <x:v>1311.96</x:v>
      </x:c>
      <x:c r="N13" s="25" t="n">
        <x:f>IF(M13="","",M13/J13-1)</x:f>
        <x:v>-0.005782098985290807</x:v>
      </x:c>
      <x:c r="O13" s="18" t="n">
        <x:f>IF(OR(H13="",H13-2+5&gt;1938),"",INDEX('黄金价格'!$E$3:$E$1940,H13-2+5))</x:f>
        <x:v>1306.33</x:v>
      </x:c>
      <x:c r="P13" s="25" t="n">
        <x:f>IF(O13="","",O13/J13-1)</x:f>
        <x:v>-0.010048575693965556</x:v>
      </x:c>
      <x:c r="Q13" s="18" t="n">
        <x:f>IF(OR(H13="",H13-2+10&gt;1938),"",INDEX('黄金价格'!$E$3:$E$1940,H13-2+10))</x:f>
        <x:v>1305.88</x:v>
      </x:c>
      <x:c r="R13" s="25" t="n">
        <x:f>IF(Q13="","",Q13/J13-1)</x:f>
        <x:v>-0.010389590706204044</x:v>
      </x:c>
      <x:c r="S13" s="18" t="n">
        <x:f>IF(OR(H13="",H13-2+20&gt;1938),"",INDEX('黄金价格'!$E$3:$E$1940,H13-2+20))</x:f>
        <x:v>1319.62</x:v>
      </x:c>
      <x:c r="T13" s="25" t="n">
        <x:f>IF(S13="","",S13/J13-1)</x:f>
        <x:v>0.000022734334149232538</x:v>
      </x:c>
      <x:c r="U13" s="18" t="n">
        <x:f>IF(OR(H13="",H13-2+60&gt;1938),"",INDEX('黄金价格'!$E$3:$E$1940,H13-2+60))</x:f>
        <x:v>1277.18</x:v>
      </x:c>
      <x:c r="V13" s="25" t="n">
        <x:f>IF(U13="","",U13/J13-1)</x:f>
        <x:v>-0.03213877037564683</x:v>
      </x:c>
      <x:c r="W13" t="str">
        <x:f>IF(P13="","数据不足",IF(P13&gt;1%,"上涨",IF(P13&lt;-1%,"下跌","震荡")))</x:f>
        <x:v>下跌</x:v>
      </x:c>
      <x:c r="X13" t="str">
        <x:f>IF(T13="","数据不足",IF(T13&gt;1%,"上涨",IF(T13&lt;-1%,"下跌","震荡")))</x:f>
        <x:v>震荡</x:v>
      </x:c>
      <x:c r="Y13" t="str">
        <x:f>IF(OR(W13="数据不足",X13="数据不足"),"数据不足",IF(W13=X13,W13,IF(AND(P13&gt;0,T13&gt;0),"先弱后强",IF(AND(P13&lt;0,T13&lt;0),"先强后弱","方向反转"))))</x:f>
        <x:v>方向反转</x:v>
      </x:c>
      <x:c r="Z13" t="str">
        <x:f>IF(H13="","无黄金数据",IF(V13="","窗口未满","完整"))</x:f>
        <x:v>完整</x:v>
      </x:c>
    </x:row>
    <x:row r="14">
      <x:c r="A14" t="n">
        <x:v>10</x:v>
      </x:c>
      <x:c r="B14" s="17" t="n">
        <x:v>43544</x:v>
      </x:c>
      <x:c r="C14" t="str">
        <x:v>例会</x:v>
      </x:c>
      <x:c r="D14" s="20" t="n">
        <x:v>0.025</x:v>
      </x:c>
      <x:c r="E14" s="20" t="n">
        <x:v>0.025</x:v>
      </x:c>
      <x:c r="F14" s="24" t="n">
        <x:f>(E14-D14)*10000</x:f>
        <x:v>0</x:v>
      </x:c>
      <x:c r="G14" t="str">
        <x:f>IF(F14&gt;0,"加息",IF(F14&lt;0,"降息","暂停"))</x:f>
        <x:v>暂停</x:v>
      </x:c>
      <x:c r="H14" t="n">
        <x:v>336</x:v>
      </x:c>
      <x:c r="I14" s="17" t="n">
        <x:f>IF(H14="","",INDEX('黄金价格'!$A$3:$A$1940,H14-2))</x:f>
        <x:v>43544</x:v>
      </x:c>
      <x:c r="J14" s="18" t="n">
        <x:f>IF(H14="","",INDEX('黄金价格'!$E$3:$E$1940,H14-2))</x:f>
        <x:v>1312.34</x:v>
      </x:c>
      <x:c r="K14" s="18" t="n">
        <x:f>IF(OR(H14="",H14-2+1&gt;1938),"",INDEX('黄金价格'!$E$3:$E$1940,H14-2+1))</x:f>
        <x:v>1309.28</x:v>
      </x:c>
      <x:c r="L14" s="25" t="n">
        <x:f>IF(K14="","",K14/J14-1)</x:f>
        <x:v>-0.0023317128183244495</x:v>
      </x:c>
      <x:c r="M14" s="18" t="n">
        <x:f>IF(OR(H14="",H14-2+3&gt;1938),"",INDEX('黄金价格'!$E$3:$E$1940,H14-2+3))</x:f>
        <x:v>1322.01</x:v>
      </x:c>
      <x:c r="N14" s="25" t="n">
        <x:f>IF(M14="","",M14/J14-1)</x:f>
        <x:v>0.007368517304966682</x:v>
      </x:c>
      <x:c r="O14" s="18" t="n">
        <x:f>IF(OR(H14="",H14-2+5&gt;1938),"",INDEX('黄金价格'!$E$3:$E$1940,H14-2+5))</x:f>
        <x:v>1309.63</x:v>
      </x:c>
      <x:c r="P14" s="25" t="n">
        <x:f>IF(O14="","",O14/J14-1)</x:f>
        <x:v>-0.0020650136397578622</x:v>
      </x:c>
      <x:c r="Q14" s="18" t="n">
        <x:f>IF(OR(H14="",H14-2+10&gt;1938),"",INDEX('黄金价格'!$E$3:$E$1940,H14-2+10))</x:f>
        <x:v>1289.66</x:v>
      </x:c>
      <x:c r="R14" s="25" t="n">
        <x:f>IF(Q14="","",Q14/J14-1)</x:f>
        <x:v>-0.017282106771110972</x:v>
      </x:c>
      <x:c r="S14" s="18" t="n">
        <x:f>IF(OR(H14="",H14-2+20&gt;1938),"",INDEX('黄金价格'!$E$3:$E$1940,H14-2+20))</x:f>
        <x:v>1273.76</x:v>
      </x:c>
      <x:c r="T14" s="25" t="n">
        <x:f>IF(S14="","",S14/J14-1)</x:f>
        <x:v>-0.02939786945456202</x:v>
      </x:c>
      <x:c r="U14" s="18" t="n">
        <x:f>IF(OR(H14="",H14-2+60&gt;1938),"",INDEX('黄金价格'!$E$3:$E$1940,H14-2+60))</x:f>
        <x:v>1341.81</x:v>
      </x:c>
      <x:c r="V14" s="25" t="n">
        <x:f>IF(U14="","",U14/J14-1)</x:f>
        <x:v>0.022456070835301878</x:v>
      </x:c>
      <x:c r="W14" t="str">
        <x:f>IF(P14="","数据不足",IF(P14&gt;1%,"上涨",IF(P14&lt;-1%,"下跌","震荡")))</x:f>
        <x:v>震荡</x:v>
      </x:c>
      <x:c r="X14" t="str">
        <x:f>IF(T14="","数据不足",IF(T14&gt;1%,"上涨",IF(T14&lt;-1%,"下跌","震荡")))</x:f>
        <x:v>下跌</x:v>
      </x:c>
      <x:c r="Y14" t="str">
        <x:f>IF(OR(W14="数据不足",X14="数据不足"),"数据不足",IF(W14=X14,W14,IF(AND(P14&gt;0,T14&gt;0),"先弱后强",IF(AND(P14&lt;0,T14&lt;0),"先强后弱","方向反转"))))</x:f>
        <x:v>先强后弱</x:v>
      </x:c>
      <x:c r="Z14" t="str">
        <x:f>IF(H14="","无黄金数据",IF(V14="","窗口未满","完整"))</x:f>
        <x:v>完整</x:v>
      </x:c>
    </x:row>
    <x:row r="15">
      <x:c r="A15" t="n">
        <x:v>11</x:v>
      </x:c>
      <x:c r="B15" s="17" t="n">
        <x:v>43586</x:v>
      </x:c>
      <x:c r="C15" t="str">
        <x:v>例会</x:v>
      </x:c>
      <x:c r="D15" s="20" t="n">
        <x:v>0.025</x:v>
      </x:c>
      <x:c r="E15" s="20" t="n">
        <x:v>0.025</x:v>
      </x:c>
      <x:c r="F15" s="24" t="n">
        <x:f>(E15-D15)*10000</x:f>
        <x:v>0</x:v>
      </x:c>
      <x:c r="G15" t="str">
        <x:f>IF(F15&gt;0,"加息",IF(F15&lt;0,"降息","暂停"))</x:f>
        <x:v>暂停</x:v>
      </x:c>
      <x:c r="H15" t="n">
        <x:v>365</x:v>
      </x:c>
      <x:c r="I15" s="17" t="n">
        <x:f>IF(H15="","",INDEX('黄金价格'!$A$3:$A$1940,H15-2))</x:f>
        <x:v>43586</x:v>
      </x:c>
      <x:c r="J15" s="18" t="n">
        <x:f>IF(H15="","",INDEX('黄金价格'!$E$3:$E$1940,H15-2))</x:f>
        <x:v>1276.48</x:v>
      </x:c>
      <x:c r="K15" s="18" t="n">
        <x:f>IF(OR(H15="",H15-2+1&gt;1938),"",INDEX('黄金价格'!$E$3:$E$1940,H15-2+1))</x:f>
        <x:v>1270.48</x:v>
      </x:c>
      <x:c r="L15" s="25" t="n">
        <x:f>IF(K15="","",K15/J15-1)</x:f>
        <x:v>-0.004700426171972971</x:v>
      </x:c>
      <x:c r="M15" s="18" t="n">
        <x:f>IF(OR(H15="",H15-2+3&gt;1938),"",INDEX('黄金价格'!$E$3:$E$1940,H15-2+3))</x:f>
        <x:v>1280.2</x:v>
      </x:c>
      <x:c r="N15" s="25" t="n">
        <x:f>IF(M15="","",M15/J15-1)</x:f>
        <x:v>0.002914264226623331</x:v>
      </x:c>
      <x:c r="O15" s="18" t="n">
        <x:f>IF(OR(H15="",H15-2+5&gt;1938),"",INDEX('黄金价格'!$E$3:$E$1940,H15-2+5))</x:f>
        <x:v>1280.49</x:v>
      </x:c>
      <x:c r="P15" s="25" t="n">
        <x:f>IF(O15="","",O15/J15-1)</x:f>
        <x:v>0.003141451491601943</x:v>
      </x:c>
      <x:c r="Q15" s="18" t="n">
        <x:f>IF(OR(H15="",H15-2+10&gt;1938),"",INDEX('黄金价格'!$E$3:$E$1940,H15-2+10))</x:f>
        <x:v>1296.35</x:v>
      </x:c>
      <x:c r="R15" s="25" t="n">
        <x:f>IF(Q15="","",Q15/J15-1)</x:f>
        <x:v>0.015566244672850171</x:v>
      </x:c>
      <x:c r="S15" s="18" t="n">
        <x:f>IF(OR(H15="",H15-2+20&gt;1938),"",INDEX('黄金价格'!$E$3:$E$1940,H15-2+20))</x:f>
        <x:v>1280.2</x:v>
      </x:c>
      <x:c r="T15" s="25" t="n">
        <x:f>IF(S15="","",S15/J15-1)</x:f>
        <x:v>0.002914264226623331</x:v>
      </x:c>
      <x:c r="U15" s="18" t="n">
        <x:f>IF(OR(H15="",H15-2+60&gt;1938),"",INDEX('黄金价格'!$E$3:$E$1940,H15-2+60))</x:f>
        <x:v>1425.11</x:v>
      </x:c>
      <x:c r="V15" s="25" t="n">
        <x:f>IF(U15="","",U15/J15-1)</x:f>
        <x:v>0.11643739032338929</x:v>
      </x:c>
      <x:c r="W15" t="str">
        <x:f>IF(P15="","数据不足",IF(P15&gt;1%,"上涨",IF(P15&lt;-1%,"下跌","震荡")))</x:f>
        <x:v>震荡</x:v>
      </x:c>
      <x:c r="X15" t="str">
        <x:f>IF(T15="","数据不足",IF(T15&gt;1%,"上涨",IF(T15&lt;-1%,"下跌","震荡")))</x:f>
        <x:v>震荡</x:v>
      </x:c>
      <x:c r="Y15" t="str">
        <x:f>IF(OR(W15="数据不足",X15="数据不足"),"数据不足",IF(W15=X15,W15,IF(AND(P15&gt;0,T15&gt;0),"先弱后强",IF(AND(P15&lt;0,T15&lt;0),"先强后弱","方向反转"))))</x:f>
        <x:v>震荡</x:v>
      </x:c>
      <x:c r="Z15" t="str">
        <x:f>IF(H15="","无黄金数据",IF(V15="","窗口未满","完整"))</x:f>
        <x:v>完整</x:v>
      </x:c>
    </x:row>
    <x:row r="16">
      <x:c r="A16" t="n">
        <x:v>12</x:v>
      </x:c>
      <x:c r="B16" s="17" t="n">
        <x:v>43635</x:v>
      </x:c>
      <x:c r="C16" t="str">
        <x:v>例会</x:v>
      </x:c>
      <x:c r="D16" s="20" t="n">
        <x:v>0.025</x:v>
      </x:c>
      <x:c r="E16" s="20" t="n">
        <x:v>0.025</x:v>
      </x:c>
      <x:c r="F16" s="24" t="n">
        <x:f>(E16-D16)*10000</x:f>
        <x:v>0</x:v>
      </x:c>
      <x:c r="G16" t="str">
        <x:f>IF(F16&gt;0,"加息",IF(F16&lt;0,"降息","暂停"))</x:f>
        <x:v>暂停</x:v>
      </x:c>
      <x:c r="H16" t="n">
        <x:v>400</x:v>
      </x:c>
      <x:c r="I16" s="17" t="n">
        <x:f>IF(H16="","",INDEX('黄金价格'!$A$3:$A$1940,H16-2))</x:f>
        <x:v>43635</x:v>
      </x:c>
      <x:c r="J16" s="18" t="n">
        <x:f>IF(H16="","",INDEX('黄金价格'!$E$3:$E$1940,H16-2))</x:f>
        <x:v>1359.64</x:v>
      </x:c>
      <x:c r="K16" s="18" t="n">
        <x:f>IF(OR(H16="",H16-2+1&gt;1938),"",INDEX('黄金价格'!$E$3:$E$1940,H16-2+1))</x:f>
        <x:v>1388.35</x:v>
      </x:c>
      <x:c r="L16" s="25" t="n">
        <x:f>IF(K16="","",K16/J16-1)</x:f>
        <x:v>0.021115883616251274</x:v>
      </x:c>
      <x:c r="M16" s="18" t="n">
        <x:f>IF(OR(H16="",H16-2+3&gt;1938),"",INDEX('黄金价格'!$E$3:$E$1940,H16-2+3))</x:f>
        <x:v>1419.11</x:v>
      </x:c>
      <x:c r="N16" s="25" t="n">
        <x:f>IF(M16="","",M16/J16-1)</x:f>
        <x:v>0.04373951928451625</x:v>
      </x:c>
      <x:c r="O16" s="18" t="n">
        <x:f>IF(OR(H16="",H16-2+5&gt;1938),"",INDEX('黄金价格'!$E$3:$E$1940,H16-2+5))</x:f>
        <x:v>1408.67</x:v>
      </x:c>
      <x:c r="P16" s="25" t="n">
        <x:f>IF(O16="","",O16/J16-1)</x:f>
        <x:v>0.03606101615133417</x:v>
      </x:c>
      <x:c r="Q16" s="18" t="n">
        <x:f>IF(OR(H16="",H16-2+10&gt;1938),"",INDEX('黄金价格'!$E$3:$E$1940,H16-2+10))</x:f>
        <x:v>1418.41</x:v>
      </x:c>
      <x:c r="R16" s="25" t="n">
        <x:f>IF(Q16="","",Q16/J16-1)</x:f>
        <x:v>0.04322467712041411</x:v>
      </x:c>
      <x:c r="S16" s="18" t="n">
        <x:f>IF(OR(H16="",H16-2+20&gt;1938),"",INDEX('黄金价格'!$E$3:$E$1940,H16-2+20))</x:f>
        <x:v>1426.21</x:v>
      </x:c>
      <x:c r="T16" s="25" t="n">
        <x:f>IF(S16="","",S16/J16-1)</x:f>
        <x:v>0.048961489806125025</x:v>
      </x:c>
      <x:c r="U16" s="18" t="n">
        <x:f>IF(OR(H16="",H16-2+60&gt;1938),"",INDEX('黄金价格'!$E$3:$E$1940,H16-2+60))</x:f>
        <x:v>1496.52</x:v>
      </x:c>
      <x:c r="V16" s="25" t="n">
        <x:f>IF(U16="","",U16/J16-1)</x:f>
        <x:v>0.1006737077461679</x:v>
      </x:c>
      <x:c r="W16" t="str">
        <x:f>IF(P16="","数据不足",IF(P16&gt;1%,"上涨",IF(P16&lt;-1%,"下跌","震荡")))</x:f>
        <x:v>上涨</x:v>
      </x:c>
      <x:c r="X16" t="str">
        <x:f>IF(T16="","数据不足",IF(T16&gt;1%,"上涨",IF(T16&lt;-1%,"下跌","震荡")))</x:f>
        <x:v>上涨</x:v>
      </x:c>
      <x:c r="Y16" t="str">
        <x:f>IF(OR(W16="数据不足",X16="数据不足"),"数据不足",IF(W16=X16,W16,IF(AND(P16&gt;0,T16&gt;0),"先弱后强",IF(AND(P16&lt;0,T16&lt;0),"先强后弱","方向反转"))))</x:f>
        <x:v>上涨</x:v>
      </x:c>
      <x:c r="Z16" t="str">
        <x:f>IF(H16="","无黄金数据",IF(V16="","窗口未满","完整"))</x:f>
        <x:v>完整</x:v>
      </x:c>
    </x:row>
    <x:row r="17">
      <x:c r="A17" t="n">
        <x:v>13</x:v>
      </x:c>
      <x:c r="B17" s="17" t="n">
        <x:v>43677</x:v>
      </x:c>
      <x:c r="C17" t="str">
        <x:v>例会</x:v>
      </x:c>
      <x:c r="D17" s="20" t="n">
        <x:v>0.025</x:v>
      </x:c>
      <x:c r="E17" s="20" t="n">
        <x:v>0.0225</x:v>
      </x:c>
      <x:c r="F17" s="24" t="n">
        <x:f>(E17-D17)*10000</x:f>
        <x:v>-25.00000000000002</x:v>
      </x:c>
      <x:c r="G17" t="str">
        <x:f>IF(F17&gt;0,"加息",IF(F17&lt;0,"降息","暂停"))</x:f>
        <x:v>降息</x:v>
      </x:c>
      <x:c r="H17" t="n">
        <x:v>430</x:v>
      </x:c>
      <x:c r="I17" s="17" t="n">
        <x:f>IF(H17="","",INDEX('黄金价格'!$A$3:$A$1940,H17-2))</x:f>
        <x:v>43677</x:v>
      </x:c>
      <x:c r="J17" s="18" t="n">
        <x:f>IF(H17="","",INDEX('黄金价格'!$E$3:$E$1940,H17-2))</x:f>
        <x:v>1412.23</x:v>
      </x:c>
      <x:c r="K17" s="18" t="n">
        <x:f>IF(OR(H17="",H17-2+1&gt;1938),"",INDEX('黄金价格'!$E$3:$E$1940,H17-2+1))</x:f>
        <x:v>1444.89</x:v>
      </x:c>
      <x:c r="L17" s="25" t="n">
        <x:f>IF(K17="","",K17/J17-1)</x:f>
        <x:v>0.02312654454302776</x:v>
      </x:c>
      <x:c r="M17" s="18" t="n">
        <x:f>IF(OR(H17="",H17-2+3&gt;1938),"",INDEX('黄金价格'!$E$3:$E$1940,H17-2+3))</x:f>
        <x:v>1463.72</x:v>
      </x:c>
      <x:c r="N17" s="25" t="n">
        <x:f>IF(M17="","",M17/J17-1)</x:f>
        <x:v>0.036460066703015714</x:v>
      </x:c>
      <x:c r="O17" s="18" t="n">
        <x:f>IF(OR(H17="",H17-2+5&gt;1938),"",INDEX('黄金价格'!$E$3:$E$1940,H17-2+5))</x:f>
        <x:v>1501.25</x:v>
      </x:c>
      <x:c r="P17" s="25" t="n">
        <x:f>IF(O17="","",O17/J17-1)</x:f>
        <x:v>0.06303505802879128</x:v>
      </x:c>
      <x:c r="Q17" s="18" t="n">
        <x:f>IF(OR(H17="",H17-2+10&gt;1938),"",INDEX('黄金价格'!$E$3:$E$1940,H17-2+10))</x:f>
        <x:v>1516.18</x:v>
      </x:c>
      <x:c r="R17" s="25" t="n">
        <x:f>IF(Q17="","",Q17/J17-1)</x:f>
        <x:v>0.07360699036275964</x:v>
      </x:c>
      <x:c r="S17" s="18" t="n">
        <x:f>IF(OR(H17="",H17-2+20&gt;1938),"",INDEX('黄金价格'!$E$3:$E$1940,H17-2+20))</x:f>
        <x:v>1541.01</x:v>
      </x:c>
      <x:c r="T17" s="25" t="n">
        <x:f>IF(S17="","",S17/J17-1)</x:f>
        <x:v>0.09118911225508586</x:v>
      </x:c>
      <x:c r="U17" s="18" t="n">
        <x:f>IF(OR(H17="",H17-2+60&gt;1938),"",INDEX('黄金价格'!$E$3:$E$1940,H17-2+60))</x:f>
        <x:v>1491.75</x:v>
      </x:c>
      <x:c r="V17" s="25" t="n">
        <x:f>IF(U17="","",U17/J17-1)</x:f>
        <x:v>0.056308108452589156</x:v>
      </x:c>
      <x:c r="W17" t="str">
        <x:f>IF(P17="","数据不足",IF(P17&gt;1%,"上涨",IF(P17&lt;-1%,"下跌","震荡")))</x:f>
        <x:v>上涨</x:v>
      </x:c>
      <x:c r="X17" t="str">
        <x:f>IF(T17="","数据不足",IF(T17&gt;1%,"上涨",IF(T17&lt;-1%,"下跌","震荡")))</x:f>
        <x:v>上涨</x:v>
      </x:c>
      <x:c r="Y17" t="str">
        <x:f>IF(OR(W17="数据不足",X17="数据不足"),"数据不足",IF(W17=X17,W17,IF(AND(P17&gt;0,T17&gt;0),"先弱后强",IF(AND(P17&lt;0,T17&lt;0),"先强后弱","方向反转"))))</x:f>
        <x:v>上涨</x:v>
      </x:c>
      <x:c r="Z17" t="str">
        <x:f>IF(H17="","无黄金数据",IF(V17="","窗口未满","完整"))</x:f>
        <x:v>完整</x:v>
      </x:c>
    </x:row>
    <x:row r="18">
      <x:c r="A18" t="n">
        <x:v>14</x:v>
      </x:c>
      <x:c r="B18" s="17" t="n">
        <x:v>43726</x:v>
      </x:c>
      <x:c r="C18" t="str">
        <x:v>例会</x:v>
      </x:c>
      <x:c r="D18" s="20" t="n">
        <x:v>0.0225</x:v>
      </x:c>
      <x:c r="E18" s="20" t="n">
        <x:v>0.02</x:v>
      </x:c>
      <x:c r="F18" s="24" t="n">
        <x:f>(E18-D18)*10000</x:f>
        <x:v>-24.999999999999986</x:v>
      </x:c>
      <x:c r="G18" t="str">
        <x:f>IF(F18&gt;0,"加息",IF(F18&lt;0,"降息","暂停"))</x:f>
        <x:v>降息</x:v>
      </x:c>
      <x:c r="H18" t="n">
        <x:v>465</x:v>
      </x:c>
      <x:c r="I18" s="17" t="n">
        <x:f>IF(H18="","",INDEX('黄金价格'!$A$3:$A$1940,H18-2))</x:f>
        <x:v>43726</x:v>
      </x:c>
      <x:c r="J18" s="18" t="n">
        <x:f>IF(H18="","",INDEX('黄金价格'!$E$3:$E$1940,H18-2))</x:f>
        <x:v>1493.24</x:v>
      </x:c>
      <x:c r="K18" s="18" t="n">
        <x:f>IF(OR(H18="",H18-2+1&gt;1938),"",INDEX('黄金价格'!$E$3:$E$1940,H18-2+1))</x:f>
        <x:v>1498.47</x:v>
      </x:c>
      <x:c r="L18" s="25" t="n">
        <x:f>IF(K18="","",K18/J18-1)</x:f>
        <x:v>0.0035024510460475167</x:v>
      </x:c>
      <x:c r="M18" s="18" t="n">
        <x:f>IF(OR(H18="",H18-2+3&gt;1938),"",INDEX('黄金价格'!$E$3:$E$1940,H18-2+3))</x:f>
        <x:v>1522.12</x:v>
      </x:c>
      <x:c r="N18" s="25" t="n">
        <x:f>IF(M18="","",M18/J18-1)</x:f>
        <x:v>0.019340494495191596</x:v>
      </x:c>
      <x:c r="O18" s="18" t="n">
        <x:f>IF(OR(H18="",H18-2+5&gt;1938),"",INDEX('黄金价格'!$E$3:$E$1940,H18-2+5))</x:f>
        <x:v>1503.64</x:v>
      </x:c>
      <x:c r="P18" s="25" t="n">
        <x:f>IF(O18="","",O18/J18-1)</x:f>
        <x:v>0.006964721009348862</x:v>
      </x:c>
      <x:c r="Q18" s="18" t="n">
        <x:f>IF(OR(H18="",H18-2+10&gt;1938),"",INDEX('黄金价格'!$E$3:$E$1940,H18-2+10))</x:f>
        <x:v>1499.92</x:v>
      </x:c>
      <x:c r="R18" s="25" t="n">
        <x:f>IF(Q18="","",Q18/J18-1)</x:f>
        <x:v>0.004473493879081802</x:v>
      </x:c>
      <x:c r="S18" s="18" t="n">
        <x:f>IF(OR(H18="",H18-2+20&gt;1938),"",INDEX('黄金价格'!$E$3:$E$1940,H18-2+20))</x:f>
        <x:v>1489.52</x:v>
      </x:c>
      <x:c r="T18" s="25" t="n">
        <x:f>IF(S18="","",S18/J18-1)</x:f>
        <x:v>-0.0024912271302670597</x:v>
      </x:c>
      <x:c r="U18" s="18" t="n">
        <x:f>IF(OR(H18="",H18-2+60&gt;1938),"",INDEX('黄金价格'!$E$3:$E$1940,H18-2+60))</x:f>
        <x:v>1474.72</x:v>
      </x:c>
      <x:c r="V18" s="25" t="n">
        <x:f>IF(U18="","",U18/J18-1)</x:f>
        <x:v>-0.01240256087434033</x:v>
      </x:c>
      <x:c r="W18" t="str">
        <x:f>IF(P18="","数据不足",IF(P18&gt;1%,"上涨",IF(P18&lt;-1%,"下跌","震荡")))</x:f>
        <x:v>震荡</x:v>
      </x:c>
      <x:c r="X18" t="str">
        <x:f>IF(T18="","数据不足",IF(T18&gt;1%,"上涨",IF(T18&lt;-1%,"下跌","震荡")))</x:f>
        <x:v>震荡</x:v>
      </x:c>
      <x:c r="Y18" t="str">
        <x:f>IF(OR(W18="数据不足",X18="数据不足"),"数据不足",IF(W18=X18,W18,IF(AND(P18&gt;0,T18&gt;0),"先弱后强",IF(AND(P18&lt;0,T18&lt;0),"先强后弱","方向反转"))))</x:f>
        <x:v>震荡</x:v>
      </x:c>
      <x:c r="Z18" t="str">
        <x:f>IF(H18="","无黄金数据",IF(V18="","窗口未满","完整"))</x:f>
        <x:v>完整</x:v>
      </x:c>
    </x:row>
    <x:row r="19">
      <x:c r="A19" t="n">
        <x:v>15</x:v>
      </x:c>
      <x:c r="B19" s="17" t="n">
        <x:v>43768</x:v>
      </x:c>
      <x:c r="C19" t="str">
        <x:v>例会</x:v>
      </x:c>
      <x:c r="D19" s="20" t="n">
        <x:v>0.02</x:v>
      </x:c>
      <x:c r="E19" s="20" t="n">
        <x:v>0.0175</x:v>
      </x:c>
      <x:c r="F19" s="24" t="n">
        <x:f>(E19-D19)*10000</x:f>
        <x:v>-24.999999999999986</x:v>
      </x:c>
      <x:c r="G19" t="str">
        <x:f>IF(F19&gt;0,"加息",IF(F19&lt;0,"降息","暂停"))</x:f>
        <x:v>降息</x:v>
      </x:c>
      <x:c r="H19" t="n">
        <x:v>495</x:v>
      </x:c>
      <x:c r="I19" s="17" t="n">
        <x:f>IF(H19="","",INDEX('黄金价格'!$A$3:$A$1940,H19-2))</x:f>
        <x:v>43768</x:v>
      </x:c>
      <x:c r="J19" s="18" t="n">
        <x:f>IF(H19="","",INDEX('黄金价格'!$E$3:$E$1940,H19-2))</x:f>
        <x:v>1495.6</x:v>
      </x:c>
      <x:c r="K19" s="18" t="n">
        <x:f>IF(OR(H19="",H19-2+1&gt;1938),"",INDEX('黄金价格'!$E$3:$E$1940,H19-2+1))</x:f>
        <x:v>1512.13</x:v>
      </x:c>
      <x:c r="L19" s="25" t="n">
        <x:f>IF(K19="","",K19/J19-1)</x:f>
        <x:v>0.011052420433271148</x:v>
      </x:c>
      <x:c r="M19" s="18" t="n">
        <x:f>IF(OR(H19="",H19-2+3&gt;1938),"",INDEX('黄金价格'!$E$3:$E$1940,H19-2+3))</x:f>
        <x:v>1509.48</x:v>
      </x:c>
      <x:c r="N19" s="25" t="n">
        <x:f>IF(M19="","",M19/J19-1)</x:f>
        <x:v>0.009280556298475684</x:v>
      </x:c>
      <x:c r="O19" s="18" t="n">
        <x:f>IF(OR(H19="",H19-2+5&gt;1938),"",INDEX('黄金价格'!$E$3:$E$1940,H19-2+5))</x:f>
        <x:v>1490.14</x:v>
      </x:c>
      <x:c r="P19" s="25" t="n">
        <x:f>IF(O19="","",O19/J19-1)</x:f>
        <x:v>-0.0036507087456537635</x:v>
      </x:c>
      <x:c r="Q19" s="18" t="n">
        <x:f>IF(OR(H19="",H19-2+10&gt;1938),"",INDEX('黄金价格'!$E$3:$E$1940,H19-2+10))</x:f>
        <x:v>1463.26</x:v>
      </x:c>
      <x:c r="R19" s="25" t="n">
        <x:f>IF(Q19="","",Q19/J19-1)</x:f>
        <x:v>-0.02162342872425782</x:v>
      </x:c>
      <x:c r="S19" s="18" t="n">
        <x:f>IF(OR(H19="",H19-2+20&gt;1938),"",INDEX('黄金价格'!$E$3:$E$1940,H19-2+20))</x:f>
        <x:v>1453.93</x:v>
      </x:c>
      <x:c r="T19" s="25" t="n">
        <x:f>IF(S19="","",S19/J19-1)</x:f>
        <x:v>-0.027861727734688313</x:v>
      </x:c>
      <x:c r="U19" s="18" t="n">
        <x:f>IF(OR(H19="",H19-2+60&gt;1938),"",INDEX('黄金价格'!$E$3:$E$1940,H19-2+60))</x:f>
        <x:v>1570.9</x:v>
      </x:c>
      <x:c r="V19" s="25" t="n">
        <x:f>IF(U19="","",U19/J19-1)</x:f>
        <x:v>0.05034768654720523</x:v>
      </x:c>
      <x:c r="W19" t="str">
        <x:f>IF(P19="","数据不足",IF(P19&gt;1%,"上涨",IF(P19&lt;-1%,"下跌","震荡")))</x:f>
        <x:v>震荡</x:v>
      </x:c>
      <x:c r="X19" t="str">
        <x:f>IF(T19="","数据不足",IF(T19&gt;1%,"上涨",IF(T19&lt;-1%,"下跌","震荡")))</x:f>
        <x:v>下跌</x:v>
      </x:c>
      <x:c r="Y19" t="str">
        <x:f>IF(OR(W19="数据不足",X19="数据不足"),"数据不足",IF(W19=X19,W19,IF(AND(P19&gt;0,T19&gt;0),"先弱后强",IF(AND(P19&lt;0,T19&lt;0),"先强后弱","方向反转"))))</x:f>
        <x:v>先强后弱</x:v>
      </x:c>
      <x:c r="Z19" t="str">
        <x:f>IF(H19="","无黄金数据",IF(V19="","窗口未满","完整"))</x:f>
        <x:v>完整</x:v>
      </x:c>
    </x:row>
    <x:row r="20">
      <x:c r="A20" t="n">
        <x:v>16</x:v>
      </x:c>
      <x:c r="B20" s="17" t="n">
        <x:v>43810</x:v>
      </x:c>
      <x:c r="C20" t="str">
        <x:v>例会</x:v>
      </x:c>
      <x:c r="D20" s="20" t="n">
        <x:v>0.0175</x:v>
      </x:c>
      <x:c r="E20" s="20" t="n">
        <x:v>0.0175</x:v>
      </x:c>
      <x:c r="F20" s="24" t="n">
        <x:f>(E20-D20)*10000</x:f>
        <x:v>0</x:v>
      </x:c>
      <x:c r="G20" t="str">
        <x:f>IF(F20&gt;0,"加息",IF(F20&lt;0,"降息","暂停"))</x:f>
        <x:v>暂停</x:v>
      </x:c>
      <x:c r="H20" t="n">
        <x:v>525</x:v>
      </x:c>
      <x:c r="I20" s="17" t="n">
        <x:f>IF(H20="","",INDEX('黄金价格'!$A$3:$A$1940,H20-2))</x:f>
        <x:v>43810</x:v>
      </x:c>
      <x:c r="J20" s="18" t="n">
        <x:f>IF(H20="","",INDEX('黄金价格'!$E$3:$E$1940,H20-2))</x:f>
        <x:v>1474.72</x:v>
      </x:c>
      <x:c r="K20" s="18" t="n">
        <x:f>IF(OR(H20="",H20-2+1&gt;1938),"",INDEX('黄金价格'!$E$3:$E$1940,H20-2+1))</x:f>
        <x:v>1469.4</x:v>
      </x:c>
      <x:c r="L20" s="25" t="n">
        <x:f>IF(K20="","",K20/J20-1)</x:f>
        <x:v>-0.003607464467831112</x:v>
      </x:c>
      <x:c r="M20" s="18" t="n">
        <x:f>IF(OR(H20="",H20-2+3&gt;1938),"",INDEX('黄金价格'!$E$3:$E$1940,H20-2+3))</x:f>
        <x:v>1475.9</x:v>
      </x:c>
      <x:c r="N20" s="25" t="n">
        <x:f>IF(M20="","",M20/J20-1)</x:f>
        <x:v>0.0008001518932407858</x:v>
      </x:c>
      <x:c r="O20" s="18" t="n">
        <x:f>IF(OR(H20="",H20-2+5&gt;1938),"",INDEX('黄金价格'!$E$3:$E$1940,H20-2+5))</x:f>
        <x:v>1475.45</x:v>
      </x:c>
      <x:c r="P20" s="25" t="n">
        <x:f>IF(O20="","",O20/J20-1)</x:f>
        <x:v>0.0004950092220896707</x:v>
      </x:c>
      <x:c r="Q20" s="18" t="n">
        <x:f>IF(OR(H20="",H20-2+10&gt;1938),"",INDEX('黄金价格'!$E$3:$E$1940,H20-2+10))</x:f>
        <x:v>1511.04</x:v>
      </x:c>
      <x:c r="R20" s="25" t="n">
        <x:f>IF(Q20="","",Q20/J20-1)</x:f>
        <x:v>0.02462840403602029</x:v>
      </x:c>
      <x:c r="S20" s="18" t="n">
        <x:f>IF(OR(H20="",H20-2+20&gt;1938),"",INDEX('黄金价格'!$E$3:$E$1940,H20-2+20))</x:f>
        <x:v>1561.76</x:v>
      </x:c>
      <x:c r="T20" s="25" t="n">
        <x:f>IF(S20="","",S20/J20-1)</x:f>
        <x:v>0.059021373548877154</x:v>
      </x:c>
      <x:c r="U20" s="18" t="n">
        <x:f>IF(OR(H20="",H20-2+60&gt;1938),"",INDEX('黄金价格'!$E$3:$E$1940,H20-2+60))</x:f>
        <x:v>1674.06</x:v>
      </x:c>
      <x:c r="V20" s="25" t="n">
        <x:f>IF(U20="","",U20/J20-1)</x:f>
        <x:v>0.13517142237170443</x:v>
      </x:c>
      <x:c r="W20" t="str">
        <x:f>IF(P20="","数据不足",IF(P20&gt;1%,"上涨",IF(P20&lt;-1%,"下跌","震荡")))</x:f>
        <x:v>震荡</x:v>
      </x:c>
      <x:c r="X20" t="str">
        <x:f>IF(T20="","数据不足",IF(T20&gt;1%,"上涨",IF(T20&lt;-1%,"下跌","震荡")))</x:f>
        <x:v>上涨</x:v>
      </x:c>
      <x:c r="Y20" t="str">
        <x:f>IF(OR(W20="数据不足",X20="数据不足"),"数据不足",IF(W20=X20,W20,IF(AND(P20&gt;0,T20&gt;0),"先弱后强",IF(AND(P20&lt;0,T20&lt;0),"先强后弱","方向反转"))))</x:f>
        <x:v>先弱后强</x:v>
      </x:c>
      <x:c r="Z20" t="str">
        <x:f>IF(H20="","无黄金数据",IF(V20="","窗口未满","完整"))</x:f>
        <x:v>完整</x:v>
      </x:c>
    </x:row>
    <x:row r="21">
      <x:c r="A21" t="n">
        <x:v>17</x:v>
      </x:c>
      <x:c r="B21" s="17" t="n">
        <x:v>43859</x:v>
      </x:c>
      <x:c r="C21" t="str">
        <x:v>例会</x:v>
      </x:c>
      <x:c r="D21" s="20" t="n">
        <x:v>0.0175</x:v>
      </x:c>
      <x:c r="E21" s="20" t="n">
        <x:v>0.0175</x:v>
      </x:c>
      <x:c r="F21" s="24" t="n">
        <x:f>(E21-D21)*10000</x:f>
        <x:v>0</x:v>
      </x:c>
      <x:c r="G21" t="str">
        <x:f>IF(F21&gt;0,"加息",IF(F21&lt;0,"降息","暂停"))</x:f>
        <x:v>暂停</x:v>
      </x:c>
      <x:c r="H21" t="n">
        <x:v>558</x:v>
      </x:c>
      <x:c r="I21" s="17" t="n">
        <x:f>IF(H21="","",INDEX('黄金价格'!$A$3:$A$1940,H21-2))</x:f>
        <x:v>43859</x:v>
      </x:c>
      <x:c r="J21" s="18" t="n">
        <x:f>IF(H21="","",INDEX('黄金价格'!$E$3:$E$1940,H21-2))</x:f>
        <x:v>1577.11</x:v>
      </x:c>
      <x:c r="K21" s="18" t="n">
        <x:f>IF(OR(H21="",H21-2+1&gt;1938),"",INDEX('黄金价格'!$E$3:$E$1940,H21-2+1))</x:f>
        <x:v>1573.85</x:v>
      </x:c>
      <x:c r="L21" s="25" t="n">
        <x:f>IF(K21="","",K21/J21-1)</x:f>
        <x:v>-0.0020670720495082895</x:v>
      </x:c>
      <x:c r="M21" s="18" t="n">
        <x:f>IF(OR(H21="",H21-2+3&gt;1938),"",INDEX('黄金价格'!$E$3:$E$1940,H21-2+3))</x:f>
        <x:v>1576.3</x:v>
      </x:c>
      <x:c r="N21" s="25" t="n">
        <x:f>IF(M21="","",M21/J21-1)</x:f>
        <x:v>-0.0005135976564728528</x:v>
      </x:c>
      <x:c r="O21" s="18" t="n">
        <x:f>IF(OR(H21="",H21-2+5&gt;1938),"",INDEX('黄金价格'!$E$3:$E$1940,H21-2+5))</x:f>
        <x:v>1556.41</x:v>
      </x:c>
      <x:c r="P21" s="25" t="n">
        <x:f>IF(O21="","",O21/J21-1)</x:f>
        <x:v>-0.013125273443196583</x:v>
      </x:c>
      <x:c r="Q21" s="18" t="n">
        <x:f>IF(OR(H21="",H21-2+10&gt;1938),"",INDEX('黄金价格'!$E$3:$E$1940,H21-2+10))</x:f>
        <x:v>1565.73</x:v>
      </x:c>
      <x:c r="R21" s="25" t="n">
        <x:f>IF(Q21="","",Q21/J21-1)</x:f>
        <x:v>-0.007215730037854029</x:v>
      </x:c>
      <x:c r="S21" s="18" t="n">
        <x:f>IF(OR(H21="",H21-2+20&gt;1938),"",INDEX('黄金价格'!$E$3:$E$1940,H21-2+20))</x:f>
        <x:v>1640.5</x:v>
      </x:c>
      <x:c r="T21" s="25" t="n">
        <x:f>IF(S21="","",S21/J21-1)</x:f>
        <x:v>0.04019377215286202</x:v>
      </x:c>
      <x:c r="U21" s="18" t="n">
        <x:f>IF(OR(H21="",H21-2+60&gt;1938),"",INDEX('黄金价格'!$E$3:$E$1940,H21-2+60))</x:f>
        <x:v>1730.31</x:v>
      </x:c>
      <x:c r="V21" s="25" t="n">
        <x:f>IF(U21="","",U21/J21-1)</x:f>
        <x:v>0.0971397049032725</x:v>
      </x:c>
      <x:c r="W21" t="str">
        <x:f>IF(P21="","数据不足",IF(P21&gt;1%,"上涨",IF(P21&lt;-1%,"下跌","震荡")))</x:f>
        <x:v>下跌</x:v>
      </x:c>
      <x:c r="X21" t="str">
        <x:f>IF(T21="","数据不足",IF(T21&gt;1%,"上涨",IF(T21&lt;-1%,"下跌","震荡")))</x:f>
        <x:v>上涨</x:v>
      </x:c>
      <x:c r="Y21" t="str">
        <x:f>IF(OR(W21="数据不足",X21="数据不足"),"数据不足",IF(W21=X21,W21,IF(AND(P21&gt;0,T21&gt;0),"先弱后强",IF(AND(P21&lt;0,T21&lt;0),"先强后弱","方向反转"))))</x:f>
        <x:v>方向反转</x:v>
      </x:c>
      <x:c r="Z21" t="str">
        <x:f>IF(H21="","无黄金数据",IF(V21="","窗口未满","完整"))</x:f>
        <x:v>完整</x:v>
      </x:c>
    </x:row>
    <x:row r="22">
      <x:c r="A22" t="n">
        <x:v>18</x:v>
      </x:c>
      <x:c r="B22" s="17" t="n">
        <x:v>43893</x:v>
      </x:c>
      <x:c r="C22" t="str">
        <x:v>紧急会议</x:v>
      </x:c>
      <x:c r="D22" s="20" t="n">
        <x:v>0.0175</x:v>
      </x:c>
      <x:c r="E22" s="20" t="n">
        <x:v>0.0125</x:v>
      </x:c>
      <x:c r="F22" s="24" t="n">
        <x:f>(E22-D22)*10000</x:f>
        <x:v>-50.00000000000001</x:v>
      </x:c>
      <x:c r="G22" t="str">
        <x:f>IF(F22&gt;0,"加息",IF(F22&lt;0,"降息","暂停"))</x:f>
        <x:v>降息</x:v>
      </x:c>
      <x:c r="H22" t="n">
        <x:v>582</x:v>
      </x:c>
      <x:c r="I22" s="17" t="n">
        <x:f>IF(H22="","",INDEX('黄金价格'!$A$3:$A$1940,H22-2))</x:f>
        <x:v>43893</x:v>
      </x:c>
      <x:c r="J22" s="18" t="n">
        <x:f>IF(H22="","",INDEX('黄金价格'!$E$3:$E$1940,H22-2))</x:f>
        <x:v>1639.48</x:v>
      </x:c>
      <x:c r="K22" s="18" t="n">
        <x:f>IF(OR(H22="",H22-2+1&gt;1938),"",INDEX('黄金价格'!$E$3:$E$1940,H22-2+1))</x:f>
        <x:v>1635.73</x:v>
      </x:c>
      <x:c r="L22" s="25" t="n">
        <x:f>IF(K22="","",K22/J22-1)</x:f>
        <x:v>-0.0022873106106814367</x:v>
      </x:c>
      <x:c r="M22" s="18" t="n">
        <x:f>IF(OR(H22="",H22-2+3&gt;1938),"",INDEX('黄金价格'!$E$3:$E$1940,H22-2+3))</x:f>
        <x:v>1674.06</x:v>
      </x:c>
      <x:c r="N22" s="25" t="n">
        <x:f>IF(M22="","",M22/J22-1)</x:f>
        <x:v>0.021092053577963732</x:v>
      </x:c>
      <x:c r="O22" s="18" t="n">
        <x:f>IF(OR(H22="",H22-2+5&gt;1938),"",INDEX('黄金价格'!$E$3:$E$1940,H22-2+5))</x:f>
        <x:v>1649.37</x:v>
      </x:c>
      <x:c r="P22" s="25" t="n">
        <x:f>IF(O22="","",O22/J22-1)</x:f>
        <x:v>0.006032400517237191</x:v>
      </x:c>
      <x:c r="Q22" s="18" t="n">
        <x:f>IF(OR(H22="",H22-2+10&gt;1938),"",INDEX('黄金价格'!$E$3:$E$1940,H22-2+10))</x:f>
        <x:v>1527.8</x:v>
      </x:c>
      <x:c r="R22" s="25" t="n">
        <x:f>IF(Q22="","",Q22/J22-1)</x:f>
        <x:v>-0.06811915973357408</x:v>
      </x:c>
      <x:c r="S22" s="18" t="n">
        <x:f>IF(OR(H22="",H22-2+20&gt;1938),"",INDEX('黄金价格'!$E$3:$E$1940,H22-2+20))</x:f>
        <x:v>1576.78</x:v>
      </x:c>
      <x:c r="T22" s="25" t="n">
        <x:f>IF(S22="","",S22/J22-1)</x:f>
        <x:v>-0.038243833410593675</x:v>
      </x:c>
      <x:c r="U22" s="18" t="n">
        <x:f>IF(OR(H22="",H22-2+60&gt;1938),"",INDEX('黄金价格'!$E$3:$E$1940,H22-2+60))</x:f>
        <x:v>1709.57</x:v>
      </x:c>
      <x:c r="V22" s="25" t="n">
        <x:f>IF(U22="","",U22/J22-1)</x:f>
        <x:v>0.04275136018737635</x:v>
      </x:c>
      <x:c r="W22" t="str">
        <x:f>IF(P22="","数据不足",IF(P22&gt;1%,"上涨",IF(P22&lt;-1%,"下跌","震荡")))</x:f>
        <x:v>震荡</x:v>
      </x:c>
      <x:c r="X22" t="str">
        <x:f>IF(T22="","数据不足",IF(T22&gt;1%,"上涨",IF(T22&lt;-1%,"下跌","震荡")))</x:f>
        <x:v>下跌</x:v>
      </x:c>
      <x:c r="Y22" t="str">
        <x:f>IF(OR(W22="数据不足",X22="数据不足"),"数据不足",IF(W22=X22,W22,IF(AND(P22&gt;0,T22&gt;0),"先弱后强",IF(AND(P22&lt;0,T22&lt;0),"先强后弱","方向反转"))))</x:f>
        <x:v>方向反转</x:v>
      </x:c>
      <x:c r="Z22" t="str">
        <x:f>IF(H22="","无黄金数据",IF(V22="","窗口未满","完整"))</x:f>
        <x:v>完整</x:v>
      </x:c>
    </x:row>
    <x:row r="23">
      <x:c r="A23" t="n">
        <x:v>19</x:v>
      </x:c>
      <x:c r="B23" s="17" t="n">
        <x:v>43905</x:v>
      </x:c>
      <x:c r="C23" t="str">
        <x:v>紧急会议</x:v>
      </x:c>
      <x:c r="D23" s="20" t="n">
        <x:v>0.0125</x:v>
      </x:c>
      <x:c r="E23" s="20" t="n">
        <x:v>0.0025</x:v>
      </x:c>
      <x:c r="F23" s="24" t="n">
        <x:f>(E23-D23)*10000</x:f>
        <x:v>-100</x:v>
      </x:c>
      <x:c r="G23" t="str">
        <x:f>IF(F23&gt;0,"加息",IF(F23&lt;0,"降息","暂停"))</x:f>
        <x:v>降息</x:v>
      </x:c>
      <x:c r="H23" t="n">
        <x:v>591</x:v>
      </x:c>
      <x:c r="I23" s="17" t="n">
        <x:f>IF(H23="","",INDEX('黄金价格'!$A$3:$A$1940,H23-2))</x:f>
        <x:v>43906</x:v>
      </x:c>
      <x:c r="J23" s="18" t="n">
        <x:f>IF(H23="","",INDEX('黄金价格'!$E$3:$E$1940,H23-2))</x:f>
        <x:v>1509.09</x:v>
      </x:c>
      <x:c r="K23" s="18" t="n">
        <x:f>IF(OR(H23="",H23-2+1&gt;1938),"",INDEX('黄金价格'!$E$3:$E$1940,H23-2+1))</x:f>
        <x:v>1527.8</x:v>
      </x:c>
      <x:c r="L23" s="25" t="n">
        <x:f>IF(K23="","",K23/J23-1)</x:f>
        <x:v>0.012398200239879698</x:v>
      </x:c>
      <x:c r="M23" s="18" t="n">
        <x:f>IF(OR(H23="",H23-2+3&gt;1938),"",INDEX('黄金价格'!$E$3:$E$1940,H23-2+3))</x:f>
        <x:v>1474.34</x:v>
      </x:c>
      <x:c r="N23" s="25" t="n">
        <x:f>IF(M23="","",M23/J23-1)</x:f>
        <x:v>-0.023027122305495418</x:v>
      </x:c>
      <x:c r="O23" s="18" t="n">
        <x:f>IF(OR(H23="",H23-2+5&gt;1938),"",INDEX('黄金价格'!$E$3:$E$1940,H23-2+5))</x:f>
        <x:v>1552.39</x:v>
      </x:c>
      <x:c r="P23" s="25" t="n">
        <x:f>IF(O23="","",O23/J23-1)</x:f>
        <x:v>0.02869278836914968</x:v>
      </x:c>
      <x:c r="Q23" s="18" t="n">
        <x:f>IF(OR(H23="",H23-2+10&gt;1938),"",INDEX('黄金价格'!$E$3:$E$1940,H23-2+10))</x:f>
        <x:v>1620.31</x:v>
      </x:c>
      <x:c r="R23" s="25" t="n">
        <x:f>IF(Q23="","",Q23/J23-1)</x:f>
        <x:v>0.07370004439761724</x:v>
      </x:c>
      <x:c r="S23" s="18" t="n">
        <x:f>IF(OR(H23="",H23-2+20&gt;1938),"",INDEX('黄金价格'!$E$3:$E$1940,H23-2+20))</x:f>
        <x:v>1726.54</x:v>
      </x:c>
      <x:c r="T23" s="25" t="n">
        <x:f>IF(S23="","",S23/J23-1)</x:f>
        <x:v>0.14409346029726522</x:v>
      </x:c>
      <x:c r="U23" s="18" t="n">
        <x:f>IF(OR(H23="",H23-2+60&gt;1938),"",INDEX('黄金价格'!$E$3:$E$1940,H23-2+60))</x:f>
        <x:v>1714.16</x:v>
      </x:c>
      <x:c r="V23" s="25" t="n">
        <x:f>IF(U23="","",U23/J23-1)</x:f>
        <x:v>0.13588984089749467</x:v>
      </x:c>
      <x:c r="W23" t="str">
        <x:f>IF(P23="","数据不足",IF(P23&gt;1%,"上涨",IF(P23&lt;-1%,"下跌","震荡")))</x:f>
        <x:v>上涨</x:v>
      </x:c>
      <x:c r="X23" t="str">
        <x:f>IF(T23="","数据不足",IF(T23&gt;1%,"上涨",IF(T23&lt;-1%,"下跌","震荡")))</x:f>
        <x:v>上涨</x:v>
      </x:c>
      <x:c r="Y23" t="str">
        <x:f>IF(OR(W23="数据不足",X23="数据不足"),"数据不足",IF(W23=X23,W23,IF(AND(P23&gt;0,T23&gt;0),"先弱后强",IF(AND(P23&lt;0,T23&lt;0),"先强后弱","方向反转"))))</x:f>
        <x:v>上涨</x:v>
      </x:c>
      <x:c r="Z23" t="str">
        <x:f>IF(H23="","无黄金数据",IF(V23="","窗口未满","完整"))</x:f>
        <x:v>完整</x:v>
      </x:c>
    </x:row>
    <x:row r="24">
      <x:c r="A24" t="n">
        <x:v>20</x:v>
      </x:c>
      <x:c r="B24" s="17" t="n">
        <x:v>43950</x:v>
      </x:c>
      <x:c r="C24" t="str">
        <x:v>例会</x:v>
      </x:c>
      <x:c r="D24" s="20" t="n">
        <x:v>0.0025</x:v>
      </x:c>
      <x:c r="E24" s="20" t="n">
        <x:v>0.0025</x:v>
      </x:c>
      <x:c r="F24" s="24" t="n">
        <x:f>(E24-D24)*10000</x:f>
        <x:v>0</x:v>
      </x:c>
      <x:c r="G24" t="str">
        <x:f>IF(F24&gt;0,"加息",IF(F24&lt;0,"降息","暂停"))</x:f>
        <x:v>暂停</x:v>
      </x:c>
      <x:c r="H24" t="n">
        <x:v>622</x:v>
      </x:c>
      <x:c r="I24" s="17" t="n">
        <x:f>IF(H24="","",INDEX('黄金价格'!$A$3:$A$1940,H24-2))</x:f>
        <x:v>43950</x:v>
      </x:c>
      <x:c r="J24" s="18" t="n">
        <x:f>IF(H24="","",INDEX('黄金价格'!$E$3:$E$1940,H24-2))</x:f>
        <x:v>1712.89</x:v>
      </x:c>
      <x:c r="K24" s="18" t="n">
        <x:f>IF(OR(H24="",H24-2+1&gt;1938),"",INDEX('黄金价格'!$E$3:$E$1940,H24-2+1))</x:f>
        <x:v>1685.98</x:v>
      </x:c>
      <x:c r="L24" s="25" t="n">
        <x:f>IF(K24="","",K24/J24-1)</x:f>
        <x:v>-0.01571029079508901</x:v>
      </x:c>
      <x:c r="M24" s="18" t="n">
        <x:f>IF(OR(H24="",H24-2+3&gt;1938),"",INDEX('黄金价格'!$E$3:$E$1940,H24-2+3))</x:f>
        <x:v>1701</x:v>
      </x:c>
      <x:c r="N24" s="25" t="n">
        <x:f>IF(M24="","",M24/J24-1)</x:f>
        <x:v>-0.006941484858922653</x:v>
      </x:c>
      <x:c r="O24" s="18" t="n">
        <x:f>IF(OR(H24="",H24-2+5&gt;1938),"",INDEX('黄金价格'!$E$3:$E$1940,H24-2+5))</x:f>
        <x:v>1685.19</x:v>
      </x:c>
      <x:c r="P24" s="25" t="n">
        <x:f>IF(O24="","",O24/J24-1)</x:f>
        <x:v>-0.01617149962928155</x:v>
      </x:c>
      <x:c r="Q24" s="18" t="n">
        <x:f>IF(OR(H24="",H24-2+10&gt;1938),"",INDEX('黄金价格'!$E$3:$E$1940,H24-2+10))</x:f>
        <x:v>1715.3</x:v>
      </x:c>
      <x:c r="R24" s="25" t="n">
        <x:f>IF(Q24="","",Q24/J24-1)</x:f>
        <x:v>0.0014069788486124057</x:v>
      </x:c>
      <x:c r="S24" s="18" t="n">
        <x:f>IF(OR(H24="",H24-2+20&gt;1938),"",INDEX('黄金价格'!$E$3:$E$1940,H24-2+20))</x:f>
        <x:v>1709.57</x:v>
      </x:c>
      <x:c r="T24" s="25" t="n">
        <x:f>IF(S24="","",S24/J24-1)</x:f>
        <x:v>-0.0019382447209104203</x:v>
      </x:c>
      <x:c r="U24" s="18" t="n">
        <x:f>IF(OR(H24="",H24-2+60&gt;1938),"",INDEX('黄金价格'!$E$3:$E$1940,H24-2+60))</x:f>
        <x:v>1871.22</x:v>
      </x:c>
      <x:c r="V24" s="25" t="n">
        <x:f>IF(U24="","",U24/J24-1)</x:f>
        <x:v>0.09243442369329014</x:v>
      </x:c>
      <x:c r="W24" t="str">
        <x:f>IF(P24="","数据不足",IF(P24&gt;1%,"上涨",IF(P24&lt;-1%,"下跌","震荡")))</x:f>
        <x:v>下跌</x:v>
      </x:c>
      <x:c r="X24" t="str">
        <x:f>IF(T24="","数据不足",IF(T24&gt;1%,"上涨",IF(T24&lt;-1%,"下跌","震荡")))</x:f>
        <x:v>震荡</x:v>
      </x:c>
      <x:c r="Y24" t="str">
        <x:f>IF(OR(W24="数据不足",X24="数据不足"),"数据不足",IF(W24=X24,W24,IF(AND(P24&gt;0,T24&gt;0),"先弱后强",IF(AND(P24&lt;0,T24&lt;0),"先强后弱","方向反转"))))</x:f>
        <x:v>先强后弱</x:v>
      </x:c>
      <x:c r="Z24" t="str">
        <x:f>IF(H24="","无黄金数据",IF(V24="","窗口未满","完整"))</x:f>
        <x:v>完整</x:v>
      </x:c>
    </x:row>
    <x:row r="25">
      <x:c r="A25" t="n">
        <x:v>21</x:v>
      </x:c>
      <x:c r="B25" s="17" t="n">
        <x:v>43992</x:v>
      </x:c>
      <x:c r="C25" t="str">
        <x:v>例会</x:v>
      </x:c>
      <x:c r="D25" s="20" t="n">
        <x:v>0.0025</x:v>
      </x:c>
      <x:c r="E25" s="20" t="n">
        <x:v>0.0025</x:v>
      </x:c>
      <x:c r="F25" s="24" t="n">
        <x:f>(E25-D25)*10000</x:f>
        <x:v>0</x:v>
      </x:c>
      <x:c r="G25" t="str">
        <x:f>IF(F25&gt;0,"加息",IF(F25&lt;0,"降息","暂停"))</x:f>
        <x:v>暂停</x:v>
      </x:c>
      <x:c r="H25" t="n">
        <x:v>652</x:v>
      </x:c>
      <x:c r="I25" s="17" t="n">
        <x:f>IF(H25="","",INDEX('黄金价格'!$A$3:$A$1940,H25-2))</x:f>
        <x:v>43992</x:v>
      </x:c>
      <x:c r="J25" s="18" t="n">
        <x:f>IF(H25="","",INDEX('黄金价格'!$E$3:$E$1940,H25-2))</x:f>
        <x:v>1737.83</x:v>
      </x:c>
      <x:c r="K25" s="18" t="n">
        <x:f>IF(OR(H25="",H25-2+1&gt;1938),"",INDEX('黄金价格'!$E$3:$E$1940,H25-2+1))</x:f>
        <x:v>1728.56</x:v>
      </x:c>
      <x:c r="L25" s="25" t="n">
        <x:f>IF(K25="","",K25/J25-1)</x:f>
        <x:v>-0.005334238676970693</x:v>
      </x:c>
      <x:c r="M25" s="18" t="n">
        <x:f>IF(OR(H25="",H25-2+3&gt;1938),"",INDEX('黄金价格'!$E$3:$E$1940,H25-2+3))</x:f>
        <x:v>1725.24</x:v>
      </x:c>
      <x:c r="N25" s="25" t="n">
        <x:f>IF(M25="","",M25/J25-1)</x:f>
        <x:v>-0.007244667199898691</x:v>
      </x:c>
      <x:c r="O25" s="18" t="n">
        <x:f>IF(OR(H25="",H25-2+5&gt;1938),"",INDEX('黄金价格'!$E$3:$E$1940,H25-2+5))</x:f>
        <x:v>1726.19</x:v>
      </x:c>
      <x:c r="P25" s="25" t="n">
        <x:f>IF(O25="","",O25/J25-1)</x:f>
        <x:v>-0.006698008435807812</x:v>
      </x:c>
      <x:c r="Q25" s="18" t="n">
        <x:f>IF(OR(H25="",H25-2+10&gt;1938),"",INDEX('黄金价格'!$E$3:$E$1940,H25-2+10))</x:f>
        <x:v>1761.28</x:v>
      </x:c>
      <x:c r="R25" s="25" t="n">
        <x:f>IF(Q25="","",Q25/J25-1)</x:f>
        <x:v>0.013493840018874215</x:v>
      </x:c>
      <x:c r="S25" s="18" t="n">
        <x:f>IF(OR(H25="",H25-2+20&gt;1938),"",INDEX('黄金价格'!$E$3:$E$1940,H25-2+20))</x:f>
        <x:v>1808.45</x:v>
      </x:c>
      <x:c r="T25" s="25" t="n">
        <x:f>IF(S25="","",S25/J25-1)</x:f>
        <x:v>0.040636886231679714</x:v>
      </x:c>
      <x:c r="U25" s="18" t="n">
        <x:f>IF(OR(H25="",H25-2+60&gt;1938),"",INDEX('黄金价格'!$E$3:$E$1940,H25-2+60))</x:f>
        <x:v>1943.08</x:v>
      </x:c>
      <x:c r="V25" s="25" t="n">
        <x:f>IF(U25="","",U25/J25-1)</x:f>
        <x:v>0.11810706455752285</x:v>
      </x:c>
      <x:c r="W25" t="str">
        <x:f>IF(P25="","数据不足",IF(P25&gt;1%,"上涨",IF(P25&lt;-1%,"下跌","震荡")))</x:f>
        <x:v>震荡</x:v>
      </x:c>
      <x:c r="X25" t="str">
        <x:f>IF(T25="","数据不足",IF(T25&gt;1%,"上涨",IF(T25&lt;-1%,"下跌","震荡")))</x:f>
        <x:v>上涨</x:v>
      </x:c>
      <x:c r="Y25" t="str">
        <x:f>IF(OR(W25="数据不足",X25="数据不足"),"数据不足",IF(W25=X25,W25,IF(AND(P25&gt;0,T25&gt;0),"先弱后强",IF(AND(P25&lt;0,T25&lt;0),"先强后弱","方向反转"))))</x:f>
        <x:v>方向反转</x:v>
      </x:c>
      <x:c r="Z25" t="str">
        <x:f>IF(H25="","无黄金数据",IF(V25="","窗口未满","完整"))</x:f>
        <x:v>完整</x:v>
      </x:c>
    </x:row>
    <x:row r="26">
      <x:c r="A26" t="n">
        <x:v>22</x:v>
      </x:c>
      <x:c r="B26" s="17" t="n">
        <x:v>44041</x:v>
      </x:c>
      <x:c r="C26" t="str">
        <x:v>例会</x:v>
      </x:c>
      <x:c r="D26" s="20" t="n">
        <x:v>0.0025</x:v>
      </x:c>
      <x:c r="E26" s="20" t="n">
        <x:v>0.0025</x:v>
      </x:c>
      <x:c r="F26" s="24" t="n">
        <x:f>(E26-D26)*10000</x:f>
        <x:v>0</x:v>
      </x:c>
      <x:c r="G26" t="str">
        <x:f>IF(F26&gt;0,"加息",IF(F26&lt;0,"降息","暂停"))</x:f>
        <x:v>暂停</x:v>
      </x:c>
      <x:c r="H26" t="n">
        <x:v>687</x:v>
      </x:c>
      <x:c r="I26" s="17" t="n">
        <x:f>IF(H26="","",INDEX('黄金价格'!$A$3:$A$1940,H26-2))</x:f>
        <x:v>44041</x:v>
      </x:c>
      <x:c r="J26" s="18" t="n">
        <x:f>IF(H26="","",INDEX('黄金价格'!$E$3:$E$1940,H26-2))</x:f>
        <x:v>1970.82</x:v>
      </x:c>
      <x:c r="K26" s="18" t="n">
        <x:f>IF(OR(H26="",H26-2+1&gt;1938),"",INDEX('黄金价格'!$E$3:$E$1940,H26-2+1))</x:f>
        <x:v>1957.54</x:v>
      </x:c>
      <x:c r="L26" s="25" t="n">
        <x:f>IF(K26="","",K26/J26-1)</x:f>
        <x:v>-0.006738311971666633</x:v>
      </x:c>
      <x:c r="M26" s="18" t="n">
        <x:f>IF(OR(H26="",H26-2+3&gt;1938),"",INDEX('黄金价格'!$E$3:$E$1940,H26-2+3))</x:f>
        <x:v>1975.98</x:v>
      </x:c>
      <x:c r="N26" s="25" t="n">
        <x:f>IF(M26="","",M26/J26-1)</x:f>
        <x:v>0.002618199531159604</x:v>
      </x:c>
      <x:c r="O26" s="18" t="n">
        <x:f>IF(OR(H26="",H26-2+5&gt;1938),"",INDEX('黄金价格'!$E$3:$E$1940,H26-2+5))</x:f>
        <x:v>2038.96</x:v>
      </x:c>
      <x:c r="P26" s="25" t="n">
        <x:f>IF(O26="","",O26/J26-1)</x:f>
        <x:v>0.03457444109558461</x:v>
      </x:c>
      <x:c r="Q26" s="18" t="n">
        <x:f>IF(OR(H26="",H26-2+10&gt;1938),"",INDEX('黄金价格'!$E$3:$E$1940,H26-2+10))</x:f>
        <x:v>1918.98</x:v>
      </x:c>
      <x:c r="R26" s="25" t="n">
        <x:f>IF(Q26="","",Q26/J26-1)</x:f>
        <x:v>-0.026303772033975714</x:v>
      </x:c>
      <x:c r="S26" s="18" t="n">
        <x:f>IF(OR(H26="",H26-2+20&gt;1938),"",INDEX('黄金价格'!$E$3:$E$1940,H26-2+20))</x:f>
        <x:v>1953.14</x:v>
      </x:c>
      <x:c r="T26" s="25" t="n">
        <x:f>IF(S26="","",S26/J26-1)</x:f>
        <x:v>-0.008970885215290991</x:v>
      </x:c>
      <x:c r="U26" s="18" t="n">
        <x:f>IF(OR(H26="",H26-2+60&gt;1938),"",INDEX('黄金价格'!$E$3:$E$1940,H26-2+60))</x:f>
        <x:v>1924.6</x:v>
      </x:c>
      <x:c r="V26" s="25" t="n">
        <x:f>IF(U26="","",U26/J26-1)</x:f>
        <x:v>-0.023452167118255374</x:v>
      </x:c>
      <x:c r="W26" t="str">
        <x:f>IF(P26="","数据不足",IF(P26&gt;1%,"上涨",IF(P26&lt;-1%,"下跌","震荡")))</x:f>
        <x:v>上涨</x:v>
      </x:c>
      <x:c r="X26" t="str">
        <x:f>IF(T26="","数据不足",IF(T26&gt;1%,"上涨",IF(T26&lt;-1%,"下跌","震荡")))</x:f>
        <x:v>震荡</x:v>
      </x:c>
      <x:c r="Y26" t="str">
        <x:f>IF(OR(W26="数据不足",X26="数据不足"),"数据不足",IF(W26=X26,W26,IF(AND(P26&gt;0,T26&gt;0),"先弱后强",IF(AND(P26&lt;0,T26&lt;0),"先强后弱","方向反转"))))</x:f>
        <x:v>方向反转</x:v>
      </x:c>
      <x:c r="Z26" t="str">
        <x:f>IF(H26="","无黄金数据",IF(V26="","窗口未满","完整"))</x:f>
        <x:v>完整</x:v>
      </x:c>
    </x:row>
    <x:row r="27">
      <x:c r="A27" t="n">
        <x:v>23</x:v>
      </x:c>
      <x:c r="B27" s="17" t="n">
        <x:v>44090</x:v>
      </x:c>
      <x:c r="C27" t="str">
        <x:v>例会</x:v>
      </x:c>
      <x:c r="D27" s="20" t="n">
        <x:v>0.0025</x:v>
      </x:c>
      <x:c r="E27" s="20" t="n">
        <x:v>0.0025</x:v>
      </x:c>
      <x:c r="F27" s="24" t="n">
        <x:f>(E27-D27)*10000</x:f>
        <x:v>0</x:v>
      </x:c>
      <x:c r="G27" t="str">
        <x:f>IF(F27&gt;0,"加息",IF(F27&lt;0,"降息","暂停"))</x:f>
        <x:v>暂停</x:v>
      </x:c>
      <x:c r="H27" t="n">
        <x:v>722</x:v>
      </x:c>
      <x:c r="I27" s="17" t="n">
        <x:f>IF(H27="","",INDEX('黄金价格'!$A$3:$A$1940,H27-2))</x:f>
        <x:v>44090</x:v>
      </x:c>
      <x:c r="J27" s="18" t="n">
        <x:f>IF(H27="","",INDEX('黄金价格'!$E$3:$E$1940,H27-2))</x:f>
        <x:v>1959.15</x:v>
      </x:c>
      <x:c r="K27" s="18" t="n">
        <x:f>IF(OR(H27="",H27-2+1&gt;1938),"",INDEX('黄金价格'!$E$3:$E$1940,H27-2+1))</x:f>
        <x:v>1944.2</x:v>
      </x:c>
      <x:c r="L27" s="25" t="n">
        <x:f>IF(K27="","",K27/J27-1)</x:f>
        <x:v>-0.007630860322078492</x:v>
      </x:c>
      <x:c r="M27" s="18" t="n">
        <x:f>IF(OR(H27="",H27-2+3&gt;1938),"",INDEX('黄金价格'!$E$3:$E$1940,H27-2+3))</x:f>
        <x:v>1911.92</x:v>
      </x:c>
      <x:c r="N27" s="25" t="n">
        <x:f>IF(M27="","",M27/J27-1)</x:f>
        <x:v>-0.024107393512492692</x:v>
      </x:c>
      <x:c r="O27" s="18" t="n">
        <x:f>IF(OR(H27="",H27-2+5&gt;1938),"",INDEX('黄金价格'!$E$3:$E$1940,H27-2+5))</x:f>
        <x:v>1862.74</x:v>
      </x:c>
      <x:c r="P27" s="25" t="n">
        <x:f>IF(O27="","",O27/J27-1)</x:f>
        <x:v>-0.049210116632212975</x:v>
      </x:c>
      <x:c r="Q27" s="18" t="n">
        <x:f>IF(OR(H27="",H27-2+10&gt;1938),"",INDEX('黄金价格'!$E$3:$E$1940,H27-2+10))</x:f>
        <x:v>1885.23</x:v>
      </x:c>
      <x:c r="R27" s="25" t="n">
        <x:f>IF(Q27="","",Q27/J27-1)</x:f>
        <x:v>-0.0377306484955211</x:v>
      </x:c>
      <x:c r="S27" s="18" t="n">
        <x:f>IF(OR(H27="",H27-2+20&gt;1938),"",INDEX('黄金价格'!$E$3:$E$1940,H27-2+20))</x:f>
        <x:v>1900.49</x:v>
      </x:c>
      <x:c r="T27" s="25" t="n">
        <x:f>IF(S27="","",S27/J27-1)</x:f>
        <x:v>-0.02994155628716544</x:v>
      </x:c>
      <x:c r="U27" s="18" t="n">
        <x:f>IF(OR(H27="",H27-2+60&gt;1938),"",INDEX('黄金价格'!$E$3:$E$1940,H27-2+60))</x:f>
        <x:v>1839.41</x:v>
      </x:c>
      <x:c r="V27" s="25" t="n">
        <x:f>IF(U27="","",U27/J27-1)</x:f>
        <x:v>-0.06111834213817213</x:v>
      </x:c>
      <x:c r="W27" t="str">
        <x:f>IF(P27="","数据不足",IF(P27&gt;1%,"上涨",IF(P27&lt;-1%,"下跌","震荡")))</x:f>
        <x:v>下跌</x:v>
      </x:c>
      <x:c r="X27" t="str">
        <x:f>IF(T27="","数据不足",IF(T27&gt;1%,"上涨",IF(T27&lt;-1%,"下跌","震荡")))</x:f>
        <x:v>下跌</x:v>
      </x:c>
      <x:c r="Y27" t="str">
        <x:f>IF(OR(W27="数据不足",X27="数据不足"),"数据不足",IF(W27=X27,W27,IF(AND(P27&gt;0,T27&gt;0),"先弱后强",IF(AND(P27&lt;0,T27&lt;0),"先强后弱","方向反转"))))</x:f>
        <x:v>下跌</x:v>
      </x:c>
      <x:c r="Z27" t="str">
        <x:f>IF(H27="","无黄金数据",IF(V27="","窗口未满","完整"))</x:f>
        <x:v>完整</x:v>
      </x:c>
    </x:row>
    <x:row r="28">
      <x:c r="A28" t="n">
        <x:v>24</x:v>
      </x:c>
      <x:c r="B28" s="17" t="n">
        <x:v>44140</x:v>
      </x:c>
      <x:c r="C28" t="str">
        <x:v>例会</x:v>
      </x:c>
      <x:c r="D28" s="20" t="n">
        <x:v>0.0025</x:v>
      </x:c>
      <x:c r="E28" s="20" t="n">
        <x:v>0.0025</x:v>
      </x:c>
      <x:c r="F28" s="24" t="n">
        <x:f>(E28-D28)*10000</x:f>
        <x:v>0</x:v>
      </x:c>
      <x:c r="G28" t="str">
        <x:f>IF(F28&gt;0,"加息",IF(F28&lt;0,"降息","暂停"))</x:f>
        <x:v>暂停</x:v>
      </x:c>
      <x:c r="H28" t="n">
        <x:v>758</x:v>
      </x:c>
      <x:c r="I28" s="17" t="n">
        <x:f>IF(H28="","",INDEX('黄金价格'!$A$3:$A$1940,H28-2))</x:f>
        <x:v>44140</x:v>
      </x:c>
      <x:c r="J28" s="18" t="n">
        <x:f>IF(H28="","",INDEX('黄金价格'!$E$3:$E$1940,H28-2))</x:f>
        <x:v>1949.17</x:v>
      </x:c>
      <x:c r="K28" s="18" t="n">
        <x:f>IF(OR(H28="",H28-2+1&gt;1938),"",INDEX('黄金价格'!$E$3:$E$1940,H28-2+1))</x:f>
        <x:v>1951.81</x:v>
      </x:c>
      <x:c r="L28" s="25" t="n">
        <x:f>IF(K28="","",K28/J28-1)</x:f>
        <x:v>0.0013544226516926106</x:v>
      </x:c>
      <x:c r="M28" s="18" t="n">
        <x:f>IF(OR(H28="",H28-2+3&gt;1938),"",INDEX('黄金价格'!$E$3:$E$1940,H28-2+3))</x:f>
        <x:v>1877.39</x:v>
      </x:c>
      <x:c r="N28" s="25" t="n">
        <x:f>IF(M28="","",M28/J28-1)</x:f>
        <x:v>-0.03682593103731335</x:v>
      </x:c>
      <x:c r="O28" s="18" t="n">
        <x:f>IF(OR(H28="",H28-2+5&gt;1938),"",INDEX('黄金价格'!$E$3:$E$1940,H28-2+5))</x:f>
        <x:v>1876.71</x:v>
      </x:c>
      <x:c r="P28" s="25" t="n">
        <x:f>IF(O28="","",O28/J28-1)</x:f>
        <x:v>-0.03717479747790087</x:v>
      </x:c>
      <x:c r="Q28" s="18" t="n">
        <x:f>IF(OR(H28="",H28-2+10&gt;1938),"",INDEX('黄金价格'!$E$3:$E$1940,H28-2+10))</x:f>
        <x:v>1866.84</x:v>
      </x:c>
      <x:c r="R28" s="25" t="n">
        <x:f>IF(Q28="","",Q28/J28-1)</x:f>
        <x:v>-0.042238491255252364</x:v>
      </x:c>
      <x:c r="S28" s="18" t="n">
        <x:f>IF(OR(H28="",H28-2+20&gt;1938),"",INDEX('黄金价格'!$E$3:$E$1940,H28-2+20))</x:f>
        <x:v>1840.98</x:v>
      </x:c>
      <x:c r="T28" s="25" t="n">
        <x:f>IF(S28="","",S28/J28-1)</x:f>
        <x:v>-0.055505676775242874</x:v>
      </x:c>
      <x:c r="U28" s="18" t="n">
        <x:f>IF(OR(H28="",H28-2+60&gt;1938),"",INDEX('黄金价格'!$E$3:$E$1940,H28-2+60))</x:f>
        <x:v>1860.55</x:v>
      </x:c>
      <x:c r="V28" s="25" t="n">
        <x:f>IF(U28="","",U28/J28-1)</x:f>
        <x:v>-0.04546550583068698</x:v>
      </x:c>
      <x:c r="W28" t="str">
        <x:f>IF(P28="","数据不足",IF(P28&gt;1%,"上涨",IF(P28&lt;-1%,"下跌","震荡")))</x:f>
        <x:v>下跌</x:v>
      </x:c>
      <x:c r="X28" t="str">
        <x:f>IF(T28="","数据不足",IF(T28&gt;1%,"上涨",IF(T28&lt;-1%,"下跌","震荡")))</x:f>
        <x:v>下跌</x:v>
      </x:c>
      <x:c r="Y28" t="str">
        <x:f>IF(OR(W28="数据不足",X28="数据不足"),"数据不足",IF(W28=X28,W28,IF(AND(P28&gt;0,T28&gt;0),"先弱后强",IF(AND(P28&lt;0,T28&lt;0),"先强后弱","方向反转"))))</x:f>
        <x:v>下跌</x:v>
      </x:c>
      <x:c r="Z28" t="str">
        <x:f>IF(H28="","无黄金数据",IF(V28="","窗口未满","完整"))</x:f>
        <x:v>完整</x:v>
      </x:c>
    </x:row>
    <x:row r="29">
      <x:c r="A29" t="n">
        <x:v>25</x:v>
      </x:c>
      <x:c r="B29" s="17" t="n">
        <x:v>44181</x:v>
      </x:c>
      <x:c r="C29" t="str">
        <x:v>例会</x:v>
      </x:c>
      <x:c r="D29" s="20" t="n">
        <x:v>0.0025</x:v>
      </x:c>
      <x:c r="E29" s="20" t="n">
        <x:v>0.0025</x:v>
      </x:c>
      <x:c r="F29" s="24" t="n">
        <x:f>(E29-D29)*10000</x:f>
        <x:v>0</x:v>
      </x:c>
      <x:c r="G29" t="str">
        <x:f>IF(F29&gt;0,"加息",IF(F29&lt;0,"降息","暂停"))</x:f>
        <x:v>暂停</x:v>
      </x:c>
      <x:c r="H29" t="n">
        <x:v>787</x:v>
      </x:c>
      <x:c r="I29" s="17" t="n">
        <x:f>IF(H29="","",INDEX('黄金价格'!$A$3:$A$1940,H29-2))</x:f>
        <x:v>44181</x:v>
      </x:c>
      <x:c r="J29" s="18" t="n">
        <x:f>IF(H29="","",INDEX('黄金价格'!$E$3:$E$1940,H29-2))</x:f>
        <x:v>1864.06</x:v>
      </x:c>
      <x:c r="K29" s="18" t="n">
        <x:f>IF(OR(H29="",H29-2+1&gt;1938),"",INDEX('黄金价格'!$E$3:$E$1940,H29-2+1))</x:f>
        <x:v>1886.04</x:v>
      </x:c>
      <x:c r="L29" s="25" t="n">
        <x:f>IF(K29="","",K29/J29-1)</x:f>
        <x:v>0.011791465939937629</x:v>
      </x:c>
      <x:c r="M29" s="18" t="n">
        <x:f>IF(OR(H29="",H29-2+3&gt;1938),"",INDEX('黄金价格'!$E$3:$E$1940,H29-2+3))</x:f>
        <x:v>1876.25</x:v>
      </x:c>
      <x:c r="N29" s="25" t="n">
        <x:f>IF(M29="","",M29/J29-1)</x:f>
        <x:v>0.006539489072240112</x:v>
      </x:c>
      <x:c r="O29" s="18" t="n">
        <x:f>IF(OR(H29="",H29-2+5&gt;1938),"",INDEX('黄金价格'!$E$3:$E$1940,H29-2+5))</x:f>
        <x:v>1872.63</x:v>
      </x:c>
      <x:c r="P29" s="25" t="n">
        <x:f>IF(O29="","",O29/J29-1)</x:f>
        <x:v>0.004597491497054795</x:v>
      </x:c>
      <x:c r="Q29" s="18" t="n">
        <x:f>IF(OR(H29="",H29-2+10&gt;1938),"",INDEX('黄金价格'!$E$3:$E$1940,H29-2+10))</x:f>
        <x:v>1893.43</x:v>
      </x:c>
      <x:c r="R29" s="25" t="n">
        <x:f>IF(Q29="","",Q29/J29-1)</x:f>
        <x:v>0.015755930603092327</x:v>
      </x:c>
      <x:c r="S29" s="18" t="n">
        <x:f>IF(OR(H29="",H29-2+20&gt;1938),"",INDEX('黄金价格'!$E$3:$E$1940,H29-2+20))</x:f>
        <x:v>1827.65</x:v>
      </x:c>
      <x:c r="T29" s="25" t="n">
        <x:f>IF(S29="","",S29/J29-1)</x:f>
        <x:v>-0.01953263306975095</x:v>
      </x:c>
      <x:c r="U29" s="18" t="n">
        <x:f>IF(OR(H29="",H29-2+60&gt;1938),"",INDEX('黄金价格'!$E$3:$E$1940,H29-2+60))</x:f>
        <x:v>1726.92</x:v>
      </x:c>
      <x:c r="V29" s="25" t="n">
        <x:f>IF(U29="","",U29/J29-1)</x:f>
        <x:v>-0.07357059322124815</x:v>
      </x:c>
      <x:c r="W29" t="str">
        <x:f>IF(P29="","数据不足",IF(P29&gt;1%,"上涨",IF(P29&lt;-1%,"下跌","震荡")))</x:f>
        <x:v>震荡</x:v>
      </x:c>
      <x:c r="X29" t="str">
        <x:f>IF(T29="","数据不足",IF(T29&gt;1%,"上涨",IF(T29&lt;-1%,"下跌","震荡")))</x:f>
        <x:v>下跌</x:v>
      </x:c>
      <x:c r="Y29" t="str">
        <x:f>IF(OR(W29="数据不足",X29="数据不足"),"数据不足",IF(W29=X29,W29,IF(AND(P29&gt;0,T29&gt;0),"先弱后强",IF(AND(P29&lt;0,T29&lt;0),"先强后弱","方向反转"))))</x:f>
        <x:v>方向反转</x:v>
      </x:c>
      <x:c r="Z29" t="str">
        <x:f>IF(H29="","无黄金数据",IF(V29="","窗口未满","完整"))</x:f>
        <x:v>完整</x:v>
      </x:c>
    </x:row>
    <x:row r="30">
      <x:c r="A30" t="n">
        <x:v>26</x:v>
      </x:c>
      <x:c r="B30" s="17" t="n">
        <x:v>44223</x:v>
      </x:c>
      <x:c r="C30" t="str">
        <x:v>例会</x:v>
      </x:c>
      <x:c r="D30" s="20" t="n">
        <x:v>0.0025</x:v>
      </x:c>
      <x:c r="E30" s="20" t="n">
        <x:v>0.0025</x:v>
      </x:c>
      <x:c r="F30" s="24" t="n">
        <x:f>(E30-D30)*10000</x:f>
        <x:v>0</x:v>
      </x:c>
      <x:c r="G30" t="str">
        <x:f>IF(F30&gt;0,"加息",IF(F30&lt;0,"降息","暂停"))</x:f>
        <x:v>暂停</x:v>
      </x:c>
      <x:c r="H30" t="n">
        <x:v>815</x:v>
      </x:c>
      <x:c r="I30" s="17" t="n">
        <x:f>IF(H30="","",INDEX('黄金价格'!$A$3:$A$1940,H30-2))</x:f>
        <x:v>44223</x:v>
      </x:c>
      <x:c r="J30" s="18" t="n">
        <x:f>IF(H30="","",INDEX('黄金价格'!$E$3:$E$1940,H30-2))</x:f>
        <x:v>1843.83</x:v>
      </x:c>
      <x:c r="K30" s="18" t="n">
        <x:f>IF(OR(H30="",H30-2+1&gt;1938),"",INDEX('黄金价格'!$E$3:$E$1940,H30-2+1))</x:f>
        <x:v>1842.61</x:v>
      </x:c>
      <x:c r="L30" s="25" t="n">
        <x:f>IF(K30="","",K30/J30-1)</x:f>
        <x:v>-0.0006616662056697642</x:v>
      </x:c>
      <x:c r="M30" s="18" t="n">
        <x:f>IF(OR(H30="",H30-2+3&gt;1938),"",INDEX('黄金价格'!$E$3:$E$1940,H30-2+3))</x:f>
        <x:v>1860.55</x:v>
      </x:c>
      <x:c r="N30" s="25" t="n">
        <x:f>IF(M30="","",M30/J30-1)</x:f>
        <x:v>0.009068081113768667</x:v>
      </x:c>
      <x:c r="O30" s="18" t="n">
        <x:f>IF(OR(H30="",H30-2+5&gt;1938),"",INDEX('黄金价格'!$E$3:$E$1940,H30-2+5))</x:f>
        <x:v>1834.21</x:v>
      </x:c>
      <x:c r="P30" s="25" t="n">
        <x:f>IF(O30="","",O30/J30-1)</x:f>
        <x:v>-0.005217400736510336</x:v>
      </x:c>
      <x:c r="Q30" s="18" t="n">
        <x:f>IF(OR(H30="",H30-2+10&gt;1938),"",INDEX('黄金价格'!$E$3:$E$1940,H30-2+10))</x:f>
        <x:v>1842.35</x:v>
      </x:c>
      <x:c r="R30" s="25" t="n">
        <x:f>IF(Q30="","",Q30/J30-1)</x:f>
        <x:v>-0.0008026770363862568</x:v>
      </x:c>
      <x:c r="S30" s="18" t="n">
        <x:f>IF(OR(H30="",H30-2+20&gt;1938),"",INDEX('黄金价格'!$E$3:$E$1940,H30-2+20))</x:f>
        <x:v>1805.33</x:v>
      </x:c>
      <x:c r="T30" s="25" t="n">
        <x:f>IF(S30="","",S30/J30-1)</x:f>
        <x:v>-0.02088044993301985</x:v>
      </x:c>
      <x:c r="U30" s="18" t="n">
        <x:f>IF(OR(H30="",H30-2+60&gt;1938),"",INDEX('黄金价格'!$E$3:$E$1940,H30-2+60))</x:f>
        <x:v>1784.36</x:v>
      </x:c>
      <x:c r="V30" s="25" t="n">
        <x:f>IF(U30="","",U30/J30-1)</x:f>
        <x:v>-0.032253515779654296</x:v>
      </x:c>
      <x:c r="W30" t="str">
        <x:f>IF(P30="","数据不足",IF(P30&gt;1%,"上涨",IF(P30&lt;-1%,"下跌","震荡")))</x:f>
        <x:v>震荡</x:v>
      </x:c>
      <x:c r="X30" t="str">
        <x:f>IF(T30="","数据不足",IF(T30&gt;1%,"上涨",IF(T30&lt;-1%,"下跌","震荡")))</x:f>
        <x:v>下跌</x:v>
      </x:c>
      <x:c r="Y30" t="str">
        <x:f>IF(OR(W30="数据不足",X30="数据不足"),"数据不足",IF(W30=X30,W30,IF(AND(P30&gt;0,T30&gt;0),"先弱后强",IF(AND(P30&lt;0,T30&lt;0),"先强后弱","方向反转"))))</x:f>
        <x:v>先强后弱</x:v>
      </x:c>
      <x:c r="Z30" t="str">
        <x:f>IF(H30="","无黄金数据",IF(V30="","窗口未满","完整"))</x:f>
        <x:v>完整</x:v>
      </x:c>
    </x:row>
    <x:row r="31">
      <x:c r="A31" t="n">
        <x:v>27</x:v>
      </x:c>
      <x:c r="B31" s="17" t="n">
        <x:v>44272</x:v>
      </x:c>
      <x:c r="C31" t="str">
        <x:v>例会</x:v>
      </x:c>
      <x:c r="D31" s="20" t="n">
        <x:v>0.0025</x:v>
      </x:c>
      <x:c r="E31" s="20" t="n">
        <x:v>0.0025</x:v>
      </x:c>
      <x:c r="F31" s="24" t="n">
        <x:f>(E31-D31)*10000</x:f>
        <x:v>0</x:v>
      </x:c>
      <x:c r="G31" t="str">
        <x:f>IF(F31&gt;0,"加息",IF(F31&lt;0,"降息","暂停"))</x:f>
        <x:v>暂停</x:v>
      </x:c>
      <x:c r="H31" t="n">
        <x:v>850</x:v>
      </x:c>
      <x:c r="I31" s="17" t="n">
        <x:f>IF(H31="","",INDEX('黄金价格'!$A$3:$A$1940,H31-2))</x:f>
        <x:v>44272</x:v>
      </x:c>
      <x:c r="J31" s="18" t="n">
        <x:f>IF(H31="","",INDEX('黄金价格'!$E$3:$E$1940,H31-2))</x:f>
        <x:v>1744.54</x:v>
      </x:c>
      <x:c r="K31" s="18" t="n">
        <x:f>IF(OR(H31="",H31-2+1&gt;1938),"",INDEX('黄金价格'!$E$3:$E$1940,H31-2+1))</x:f>
        <x:v>1736.49</x:v>
      </x:c>
      <x:c r="L31" s="25" t="n">
        <x:f>IF(K31="","",K31/J31-1)</x:f>
        <x:v>-0.004614396918385388</x:v>
      </x:c>
      <x:c r="M31" s="18" t="n">
        <x:f>IF(OR(H31="",H31-2+3&gt;1938),"",INDEX('黄金价格'!$E$3:$E$1940,H31-2+3))</x:f>
        <x:v>1738.68</x:v>
      </x:c>
      <x:c r="N31" s="25" t="n">
        <x:f>IF(M31="","",M31/J31-1)</x:f>
        <x:v>-0.0033590516697811212</x:v>
      </x:c>
      <x:c r="O31" s="18" t="n">
        <x:f>IF(OR(H31="",H31-2+5&gt;1938),"",INDEX('黄金价格'!$E$3:$E$1940,H31-2+5))</x:f>
        <x:v>1733.83</x:v>
      </x:c>
      <x:c r="P31" s="25" t="n">
        <x:f>IF(O31="","",O31/J31-1)</x:f>
        <x:v>-0.006139154160982319</x:v>
      </x:c>
      <x:c r="Q31" s="18" t="n">
        <x:f>IF(OR(H31="",H31-2+10&gt;1938),"",INDEX('黄金价格'!$E$3:$E$1940,H31-2+10))</x:f>
        <x:v>1707.7</x:v>
      </x:c>
      <x:c r="R31" s="25" t="n">
        <x:f>IF(Q31="","",Q31/J31-1)</x:f>
        <x:v>-0.021117314592958514</x:v>
      </x:c>
      <x:c r="S31" s="18" t="n">
        <x:f>IF(OR(H31="",H31-2+20&gt;1938),"",INDEX('黄金价格'!$E$3:$E$1940,H31-2+20))</x:f>
        <x:v>1763.5</x:v>
      </x:c>
      <x:c r="T31" s="25" t="n">
        <x:f>IF(S31="","",S31/J31-1)</x:f>
        <x:v>0.010868194481066684</x:v>
      </x:c>
      <x:c r="U31" s="18" t="n">
        <x:f>IF(OR(H31="",H31-2+60&gt;1938),"",INDEX('黄金价格'!$E$3:$E$1940,H31-2+60))</x:f>
        <x:v>1899.64</x:v>
      </x:c>
      <x:c r="V31" s="25" t="n">
        <x:f>IF(U31="","",U31/J31-1)</x:f>
        <x:v>0.08890595801758638</x:v>
      </x:c>
      <x:c r="W31" t="str">
        <x:f>IF(P31="","数据不足",IF(P31&gt;1%,"上涨",IF(P31&lt;-1%,"下跌","震荡")))</x:f>
        <x:v>震荡</x:v>
      </x:c>
      <x:c r="X31" t="str">
        <x:f>IF(T31="","数据不足",IF(T31&gt;1%,"上涨",IF(T31&lt;-1%,"下跌","震荡")))</x:f>
        <x:v>上涨</x:v>
      </x:c>
      <x:c r="Y31" t="str">
        <x:f>IF(OR(W31="数据不足",X31="数据不足"),"数据不足",IF(W31=X31,W31,IF(AND(P31&gt;0,T31&gt;0),"先弱后强",IF(AND(P31&lt;0,T31&lt;0),"先强后弱","方向反转"))))</x:f>
        <x:v>方向反转</x:v>
      </x:c>
      <x:c r="Z31" t="str">
        <x:f>IF(H31="","无黄金数据",IF(V31="","窗口未满","完整"))</x:f>
        <x:v>完整</x:v>
      </x:c>
    </x:row>
    <x:row r="32">
      <x:c r="A32" t="n">
        <x:v>28</x:v>
      </x:c>
      <x:c r="B32" s="17" t="n">
        <x:v>44314</x:v>
      </x:c>
      <x:c r="C32" t="str">
        <x:v>例会</x:v>
      </x:c>
      <x:c r="D32" s="20" t="n">
        <x:v>0.0025</x:v>
      </x:c>
      <x:c r="E32" s="20" t="n">
        <x:v>0.0025</x:v>
      </x:c>
      <x:c r="F32" s="24" t="n">
        <x:f>(E32-D32)*10000</x:f>
        <x:v>0</x:v>
      </x:c>
      <x:c r="G32" t="str">
        <x:f>IF(F32&gt;0,"加息",IF(F32&lt;0,"降息","暂停"))</x:f>
        <x:v>暂停</x:v>
      </x:c>
      <x:c r="H32" t="n">
        <x:v>879</x:v>
      </x:c>
      <x:c r="I32" s="17" t="n">
        <x:f>IF(H32="","",INDEX('黄金价格'!$A$3:$A$1940,H32-2))</x:f>
        <x:v>44314</x:v>
      </x:c>
      <x:c r="J32" s="18" t="n">
        <x:f>IF(H32="","",INDEX('黄金价格'!$E$3:$E$1940,H32-2))</x:f>
        <x:v>1781.47</x:v>
      </x:c>
      <x:c r="K32" s="18" t="n">
        <x:f>IF(OR(H32="",H32-2+1&gt;1938),"",INDEX('黄金价格'!$E$3:$E$1940,H32-2+1))</x:f>
        <x:v>1772.28</x:v>
      </x:c>
      <x:c r="L32" s="25" t="n">
        <x:f>IF(K32="","",K32/J32-1)</x:f>
        <x:v>-0.005158661105716056</x:v>
      </x:c>
      <x:c r="M32" s="18" t="n">
        <x:f>IF(OR(H32="",H32-2+3&gt;1938),"",INDEX('黄金价格'!$E$3:$E$1940,H32-2+3))</x:f>
        <x:v>1793.04</x:v>
      </x:c>
      <x:c r="N32" s="25" t="n">
        <x:f>IF(M32="","",M32/J32-1)</x:f>
        <x:v>0.006494636451918945</x:v>
      </x:c>
      <x:c r="O32" s="18" t="n">
        <x:f>IF(OR(H32="",H32-2+5&gt;1938),"",INDEX('黄金价格'!$E$3:$E$1940,H32-2+5))</x:f>
        <x:v>1787.66</x:v>
      </x:c>
      <x:c r="P32" s="25" t="n">
        <x:f>IF(O32="","",O32/J32-1)</x:f>
        <x:v>0.0034746585684855003</x:v>
      </x:c>
      <x:c r="Q32" s="18" t="n">
        <x:f>IF(OR(H32="",H32-2+10&gt;1938),"",INDEX('黄金价格'!$E$3:$E$1940,H32-2+10))</x:f>
        <x:v>1816.11</x:v>
      </x:c>
      <x:c r="R32" s="25" t="n">
        <x:f>IF(Q32="","",Q32/J32-1)</x:f>
        <x:v>0.019444615963221334</x:v>
      </x:c>
      <x:c r="S32" s="18" t="n">
        <x:f>IF(OR(H32="",H32-2+20&gt;1938),"",INDEX('黄金价格'!$E$3:$E$1940,H32-2+20))</x:f>
        <x:v>1896.5</x:v>
      </x:c>
      <x:c r="T32" s="25" t="n">
        <x:f>IF(S32="","",S32/J32-1)</x:f>
        <x:v>0.06457027061920773</x:v>
      </x:c>
      <x:c r="U32" s="18" t="n">
        <x:f>IF(OR(H32="",H32-2+60&gt;1938),"",INDEX('黄金价格'!$E$3:$E$1940,H32-2+60))</x:f>
        <x:v>1803.42</x:v>
      </x:c>
      <x:c r="V32" s="25" t="n">
        <x:f>IF(U32="","",U32/J32-1)</x:f>
        <x:v>0.01232128523073639</x:v>
      </x:c>
      <x:c r="W32" t="str">
        <x:f>IF(P32="","数据不足",IF(P32&gt;1%,"上涨",IF(P32&lt;-1%,"下跌","震荡")))</x:f>
        <x:v>震荡</x:v>
      </x:c>
      <x:c r="X32" t="str">
        <x:f>IF(T32="","数据不足",IF(T32&gt;1%,"上涨",IF(T32&lt;-1%,"下跌","震荡")))</x:f>
        <x:v>上涨</x:v>
      </x:c>
      <x:c r="Y32" t="str">
        <x:f>IF(OR(W32="数据不足",X32="数据不足"),"数据不足",IF(W32=X32,W32,IF(AND(P32&gt;0,T32&gt;0),"先弱后强",IF(AND(P32&lt;0,T32&lt;0),"先强后弱","方向反转"))))</x:f>
        <x:v>先弱后强</x:v>
      </x:c>
      <x:c r="Z32" t="str">
        <x:f>IF(H32="","无黄金数据",IF(V32="","窗口未满","完整"))</x:f>
        <x:v>完整</x:v>
      </x:c>
    </x:row>
    <x:row r="33">
      <x:c r="A33" t="n">
        <x:v>29</x:v>
      </x:c>
      <x:c r="B33" s="17" t="n">
        <x:v>44363</x:v>
      </x:c>
      <x:c r="C33" t="str">
        <x:v>例会</x:v>
      </x:c>
      <x:c r="D33" s="20" t="n">
        <x:v>0.0025</x:v>
      </x:c>
      <x:c r="E33" s="20" t="n">
        <x:v>0.0025</x:v>
      </x:c>
      <x:c r="F33" s="24" t="n">
        <x:f>(E33-D33)*10000</x:f>
        <x:v>0</x:v>
      </x:c>
      <x:c r="G33" t="str">
        <x:f>IF(F33&gt;0,"加息",IF(F33&lt;0,"降息","暂停"))</x:f>
        <x:v>暂停</x:v>
      </x:c>
      <x:c r="H33" t="n">
        <x:v>914</x:v>
      </x:c>
      <x:c r="I33" s="17" t="n">
        <x:f>IF(H33="","",INDEX('黄金价格'!$A$3:$A$1940,H33-2))</x:f>
        <x:v>44363</x:v>
      </x:c>
      <x:c r="J33" s="18" t="n">
        <x:f>IF(H33="","",INDEX('黄金价格'!$E$3:$E$1940,H33-2))</x:f>
        <x:v>1810.21</x:v>
      </x:c>
      <x:c r="K33" s="18" t="n">
        <x:f>IF(OR(H33="",H33-2+1&gt;1938),"",INDEX('黄金价格'!$E$3:$E$1940,H33-2+1))</x:f>
        <x:v>1772.78</x:v>
      </x:c>
      <x:c r="L33" s="25" t="n">
        <x:f>IF(K33="","",K33/J33-1)</x:f>
        <x:v>-0.020677159003651524</x:v>
      </x:c>
      <x:c r="M33" s="18" t="n">
        <x:f>IF(OR(H33="",H33-2+3&gt;1938),"",INDEX('黄金价格'!$E$3:$E$1940,H33-2+3))</x:f>
        <x:v>1783.25</x:v>
      </x:c>
      <x:c r="N33" s="25" t="n">
        <x:f>IF(M33="","",M33/J33-1)</x:f>
        <x:v>-0.014893299672413707</x:v>
      </x:c>
      <x:c r="O33" s="18" t="n">
        <x:f>IF(OR(H33="",H33-2+5&gt;1938),"",INDEX('黄金价格'!$E$3:$E$1940,H33-2+5))</x:f>
        <x:v>1778.4</x:v>
      </x:c>
      <x:c r="P33" s="25" t="n">
        <x:f>IF(O33="","",O33/J33-1)</x:f>
        <x:v>-0.017572546831583047</x:v>
      </x:c>
      <x:c r="Q33" s="18" t="n">
        <x:f>IF(OR(H33="",H33-2+10&gt;1938),"",INDEX('黄金价格'!$E$3:$E$1940,H33-2+10))</x:f>
        <x:v>1769.65</x:v>
      </x:c>
      <x:c r="R33" s="25" t="n">
        <x:f>IF(Q33="","",Q33/J33-1)</x:f>
        <x:v>-0.022406240159981383</x:v>
      </x:c>
      <x:c r="S33" s="18" t="n">
        <x:f>IF(OR(H33="",H33-2+20&gt;1938),"",INDEX('黄金价格'!$E$3:$E$1940,H33-2+20))</x:f>
        <x:v>1827.99</x:v>
      </x:c>
      <x:c r="T33" s="25" t="n">
        <x:f>IF(S33="","",S33/J33-1)</x:f>
        <x:v>0.00982206484330539</x:v>
      </x:c>
      <x:c r="U33" s="18" t="n">
        <x:f>IF(OR(H33="",H33-2+60&gt;1938),"",INDEX('黄金价格'!$E$3:$E$1940,H33-2+60))</x:f>
        <x:v>1789.29</x:v>
      </x:c>
      <x:c r="V33" s="25" t="n">
        <x:f>IF(U33="","",U33/J33-1)</x:f>
        <x:v>-0.011556670220582155</x:v>
      </x:c>
      <x:c r="W33" t="str">
        <x:f>IF(P33="","数据不足",IF(P33&gt;1%,"上涨",IF(P33&lt;-1%,"下跌","震荡")))</x:f>
        <x:v>下跌</x:v>
      </x:c>
      <x:c r="X33" t="str">
        <x:f>IF(T33="","数据不足",IF(T33&gt;1%,"上涨",IF(T33&lt;-1%,"下跌","震荡")))</x:f>
        <x:v>震荡</x:v>
      </x:c>
      <x:c r="Y33" t="str">
        <x:f>IF(OR(W33="数据不足",X33="数据不足"),"数据不足",IF(W33=X33,W33,IF(AND(P33&gt;0,T33&gt;0),"先弱后强",IF(AND(P33&lt;0,T33&lt;0),"先强后弱","方向反转"))))</x:f>
        <x:v>方向反转</x:v>
      </x:c>
      <x:c r="Z33" t="str">
        <x:f>IF(H33="","无黄金数据",IF(V33="","窗口未满","完整"))</x:f>
        <x:v>完整</x:v>
      </x:c>
    </x:row>
    <x:row r="34">
      <x:c r="A34" t="n">
        <x:v>30</x:v>
      </x:c>
      <x:c r="B34" s="17" t="n">
        <x:v>44405</x:v>
      </x:c>
      <x:c r="C34" t="str">
        <x:v>例会</x:v>
      </x:c>
      <x:c r="D34" s="20" t="n">
        <x:v>0.0025</x:v>
      </x:c>
      <x:c r="E34" s="20" t="n">
        <x:v>0.0025</x:v>
      </x:c>
      <x:c r="F34" s="24" t="n">
        <x:f>(E34-D34)*10000</x:f>
        <x:v>0</x:v>
      </x:c>
      <x:c r="G34" t="str">
        <x:f>IF(F34&gt;0,"加息",IF(F34&lt;0,"降息","暂停"))</x:f>
        <x:v>暂停</x:v>
      </x:c>
      <x:c r="H34" t="n">
        <x:v>944</x:v>
      </x:c>
      <x:c r="I34" s="17" t="n">
        <x:f>IF(H34="","",INDEX('黄金价格'!$A$3:$A$1940,H34-2))</x:f>
        <x:v>44405</x:v>
      </x:c>
      <x:c r="J34" s="18" t="n">
        <x:f>IF(H34="","",INDEX('黄金价格'!$E$3:$E$1940,H34-2))</x:f>
        <x:v>1807.11</x:v>
      </x:c>
      <x:c r="K34" s="18" t="n">
        <x:f>IF(OR(H34="",H34-2+1&gt;1938),"",INDEX('黄金价格'!$E$3:$E$1940,H34-2+1))</x:f>
        <x:v>1827.79</x:v>
      </x:c>
      <x:c r="L34" s="25" t="n">
        <x:f>IF(K34="","",K34/J34-1)</x:f>
        <x:v>0.01144368632789372</x:v>
      </x:c>
      <x:c r="M34" s="18" t="n">
        <x:f>IF(OR(H34="",H34-2+3&gt;1938),"",INDEX('黄金价格'!$E$3:$E$1940,H34-2+3))</x:f>
        <x:v>1813.11</x:v>
      </x:c>
      <x:c r="N34" s="25" t="n">
        <x:f>IF(M34="","",M34/J34-1)</x:f>
        <x:v>0.0033202184703753357</x:v>
      </x:c>
      <x:c r="O34" s="18" t="n">
        <x:f>IF(OR(H34="",H34-2+5&gt;1938),"",INDEX('黄金价格'!$E$3:$E$1940,H34-2+5))</x:f>
        <x:v>1811.6</x:v>
      </x:c>
      <x:c r="P34" s="25" t="n">
        <x:f>IF(O34="","",O34/J34-1)</x:f>
        <x:v>0.002484630155330958</x:v>
      </x:c>
      <x:c r="Q34" s="18" t="n">
        <x:f>IF(OR(H34="",H34-2+10&gt;1938),"",INDEX('黄金价格'!$E$3:$E$1940,H34-2+10))</x:f>
        <x:v>1751.5</x:v>
      </x:c>
      <x:c r="R34" s="25" t="n">
        <x:f>IF(Q34="","",Q34/J34-1)</x:f>
        <x:v>-0.030772891522928836</x:v>
      </x:c>
      <x:c r="S34" s="18" t="n">
        <x:f>IF(OR(H34="",H34-2+20&gt;1938),"",INDEX('黄金价格'!$E$3:$E$1940,H34-2+20))</x:f>
        <x:v>1790.33</x:v>
      </x:c>
      <x:c r="T34" s="25" t="n">
        <x:f>IF(S34="","",S34/J34-1)</x:f>
        <x:v>-0.009285544322149675</x:v>
      </x:c>
      <x:c r="U34" s="18" t="n">
        <x:f>IF(OR(H34="",H34-2+60&gt;1938),"",INDEX('黄金价格'!$E$3:$E$1940,H34-2+60))</x:f>
        <x:v>1782.06</x:v>
      </x:c>
      <x:c r="V34" s="25" t="n">
        <x:f>IF(U34="","",U34/J34-1)</x:f>
        <x:v>-0.013861912113817043</x:v>
      </x:c>
      <x:c r="W34" t="str">
        <x:f>IF(P34="","数据不足",IF(P34&gt;1%,"上涨",IF(P34&lt;-1%,"下跌","震荡")))</x:f>
        <x:v>震荡</x:v>
      </x:c>
      <x:c r="X34" t="str">
        <x:f>IF(T34="","数据不足",IF(T34&gt;1%,"上涨",IF(T34&lt;-1%,"下跌","震荡")))</x:f>
        <x:v>震荡</x:v>
      </x:c>
      <x:c r="Y34" t="str">
        <x:f>IF(OR(W34="数据不足",X34="数据不足"),"数据不足",IF(W34=X34,W34,IF(AND(P34&gt;0,T34&gt;0),"先弱后强",IF(AND(P34&lt;0,T34&lt;0),"先强后弱","方向反转"))))</x:f>
        <x:v>震荡</x:v>
      </x:c>
      <x:c r="Z34" t="str">
        <x:f>IF(H34="","无黄金数据",IF(V34="","窗口未满","完整"))</x:f>
        <x:v>完整</x:v>
      </x:c>
    </x:row>
    <x:row r="35">
      <x:c r="A35" t="n">
        <x:v>31</x:v>
      </x:c>
      <x:c r="B35" s="17" t="n">
        <x:v>44461</x:v>
      </x:c>
      <x:c r="C35" t="str">
        <x:v>例会</x:v>
      </x:c>
      <x:c r="D35" s="20" t="n">
        <x:v>0.0025</x:v>
      </x:c>
      <x:c r="E35" s="20" t="n">
        <x:v>0.0025</x:v>
      </x:c>
      <x:c r="F35" s="24" t="n">
        <x:f>(E35-D35)*10000</x:f>
        <x:v>0</x:v>
      </x:c>
      <x:c r="G35" t="str">
        <x:f>IF(F35&gt;0,"加息",IF(F35&lt;0,"降息","暂停"))</x:f>
        <x:v>暂停</x:v>
      </x:c>
      <x:c r="H35" t="n">
        <x:v>984</x:v>
      </x:c>
      <x:c r="I35" s="17" t="n">
        <x:f>IF(H35="","",INDEX('黄金价格'!$A$3:$A$1940,H35-2))</x:f>
        <x:v>44461</x:v>
      </x:c>
      <x:c r="J35" s="18" t="n">
        <x:f>IF(H35="","",INDEX('黄金价格'!$E$3:$E$1940,H35-2))</x:f>
        <x:v>1767.99</x:v>
      </x:c>
      <x:c r="K35" s="18" t="n">
        <x:f>IF(OR(H35="",H35-2+1&gt;1938),"",INDEX('黄金价格'!$E$3:$E$1940,H35-2+1))</x:f>
        <x:v>1742.48</x:v>
      </x:c>
      <x:c r="L35" s="25" t="n">
        <x:f>IF(K35="","",K35/J35-1)</x:f>
        <x:v>-0.014428814642616805</x:v>
      </x:c>
      <x:c r="M35" s="18" t="n">
        <x:f>IF(OR(H35="",H35-2+3&gt;1938),"",INDEX('黄金价格'!$E$3:$E$1940,H35-2+3))</x:f>
        <x:v>1750.15</x:v>
      </x:c>
      <x:c r="N35" s="25" t="n">
        <x:f>IF(M35="","",M35/J35-1)</x:f>
        <x:v>-0.010090554810830321</x:v>
      </x:c>
      <x:c r="O35" s="18" t="n">
        <x:f>IF(OR(H35="",H35-2+5&gt;1938),"",INDEX('黄金价格'!$E$3:$E$1940,H35-2+5))</x:f>
        <x:v>1726.46</x:v>
      </x:c>
      <x:c r="P35" s="25" t="n">
        <x:f>IF(O35="","",O35/J35-1)</x:f>
        <x:v>-0.023489951866243586</x:v>
      </x:c>
      <x:c r="Q35" s="18" t="n">
        <x:f>IF(OR(H35="",H35-2+10&gt;1938),"",INDEX('黄金价格'!$E$3:$E$1940,H35-2+10))</x:f>
        <x:v>1762.87</x:v>
      </x:c>
      <x:c r="R35" s="25" t="n">
        <x:f>IF(Q35="","",Q35/J35-1)</x:f>
        <x:v>-0.0028959439815836596</x:v>
      </x:c>
      <x:c r="S35" s="18" t="n">
        <x:f>IF(OR(H35="",H35-2+20&gt;1938),"",INDEX('黄金价格'!$E$3:$E$1940,H35-2+20))</x:f>
        <x:v>1782.06</x:v>
      </x:c>
      <x:c r="T35" s="25" t="n">
        <x:f>IF(S35="","",S35/J35-1)</x:f>
        <x:v>0.007958189808765948</x:v>
      </x:c>
      <x:c r="U35" s="18" t="n">
        <x:f>IF(OR(H35="",H35-2+60&gt;1938),"",INDEX('黄金价格'!$E$3:$E$1940,H35-2+60))</x:f>
        <x:v>1777.09</x:v>
      </x:c>
      <x:c r="V35" s="25" t="n">
        <x:f>IF(U35="","",U35/J35-1)</x:f>
        <x:v>0.005147087936017591</x:v>
      </x:c>
      <x:c r="W35" t="str">
        <x:f>IF(P35="","数据不足",IF(P35&gt;1%,"上涨",IF(P35&lt;-1%,"下跌","震荡")))</x:f>
        <x:v>下跌</x:v>
      </x:c>
      <x:c r="X35" t="str">
        <x:f>IF(T35="","数据不足",IF(T35&gt;1%,"上涨",IF(T35&lt;-1%,"下跌","震荡")))</x:f>
        <x:v>震荡</x:v>
      </x:c>
      <x:c r="Y35" t="str">
        <x:f>IF(OR(W35="数据不足",X35="数据不足"),"数据不足",IF(W35=X35,W35,IF(AND(P35&gt;0,T35&gt;0),"先弱后强",IF(AND(P35&lt;0,T35&lt;0),"先强后弱","方向反转"))))</x:f>
        <x:v>方向反转</x:v>
      </x:c>
      <x:c r="Z35" t="str">
        <x:f>IF(H35="","无黄金数据",IF(V35="","窗口未满","完整"))</x:f>
        <x:v>完整</x:v>
      </x:c>
    </x:row>
    <x:row r="36">
      <x:c r="A36" t="n">
        <x:v>32</x:v>
      </x:c>
      <x:c r="B36" s="17" t="n">
        <x:v>44503</x:v>
      </x:c>
      <x:c r="C36" t="str">
        <x:v>例会</x:v>
      </x:c>
      <x:c r="D36" s="20" t="n">
        <x:v>0.0025</x:v>
      </x:c>
      <x:c r="E36" s="20" t="n">
        <x:v>0.0025</x:v>
      </x:c>
      <x:c r="F36" s="24" t="n">
        <x:f>(E36-D36)*10000</x:f>
        <x:v>0</x:v>
      </x:c>
      <x:c r="G36" t="str">
        <x:f>IF(F36&gt;0,"加息",IF(F36&lt;0,"降息","暂停"))</x:f>
        <x:v>暂停</x:v>
      </x:c>
      <x:c r="H36" t="n">
        <x:v>1014</x:v>
      </x:c>
      <x:c r="I36" s="17" t="n">
        <x:f>IF(H36="","",INDEX('黄金价格'!$A$3:$A$1940,H36-2))</x:f>
        <x:v>44503</x:v>
      </x:c>
      <x:c r="J36" s="18" t="n">
        <x:f>IF(H36="","",INDEX('黄金价格'!$E$3:$E$1940,H36-2))</x:f>
        <x:v>1769.89</x:v>
      </x:c>
      <x:c r="K36" s="18" t="n">
        <x:f>IF(OR(H36="",H36-2+1&gt;1938),"",INDEX('黄金价格'!$E$3:$E$1940,H36-2+1))</x:f>
        <x:v>1791.71</x:v>
      </x:c>
      <x:c r="L36" s="25" t="n">
        <x:f>IF(K36="","",K36/J36-1)</x:f>
        <x:v>0.01232844979066483</x:v>
      </x:c>
      <x:c r="M36" s="18" t="n">
        <x:f>IF(OR(H36="",H36-2+3&gt;1938),"",INDEX('黄金价格'!$E$3:$E$1940,H36-2+3))</x:f>
        <x:v>1824.14</x:v>
      </x:c>
      <x:c r="N36" s="25" t="n">
        <x:f>IF(M36="","",M36/J36-1)</x:f>
        <x:v>0.03065162241721242</x:v>
      </x:c>
      <x:c r="O36" s="18" t="n">
        <x:f>IF(OR(H36="",H36-2+5&gt;1938),"",INDEX('黄金价格'!$E$3:$E$1940,H36-2+5))</x:f>
        <x:v>1848.97</x:v>
      </x:c>
      <x:c r="P36" s="25" t="n">
        <x:f>IF(O36="","",O36/J36-1)</x:f>
        <x:v>0.04468074287102586</x:v>
      </x:c>
      <x:c r="Q36" s="18" t="n">
        <x:f>IF(OR(H36="",H36-2+10&gt;1938),"",INDEX('黄金价格'!$E$3:$E$1940,H36-2+10))</x:f>
        <x:v>1867.39</x:v>
      </x:c>
      <x:c r="R36" s="25" t="n">
        <x:f>IF(Q36="","",Q36/J36-1)</x:f>
        <x:v>0.05508816932125726</x:v>
      </x:c>
      <x:c r="S36" s="18" t="n">
        <x:f>IF(OR(H36="",H36-2+20&gt;1938),"",INDEX('黄金价格'!$E$3:$E$1940,H36-2+20))</x:f>
        <x:v>1781.88</x:v>
      </x:c>
      <x:c r="T36" s="25" t="n">
        <x:f>IF(S36="","",S36/J36-1)</x:f>
        <x:v>0.006774432309352596</x:v>
      </x:c>
      <x:c r="U36" s="18" t="n">
        <x:f>IF(OR(H36="",H36-2+60&gt;1938),"",INDEX('黄金价格'!$E$3:$E$1940,H36-2+60))</x:f>
        <x:v>1796.7</x:v>
      </x:c>
      <x:c r="V36" s="25" t="n">
        <x:f>IF(U36="","",U36/J36-1)</x:f>
        <x:v>0.015147834046183695</x:v>
      </x:c>
      <x:c r="W36" t="str">
        <x:f>IF(P36="","数据不足",IF(P36&gt;1%,"上涨",IF(P36&lt;-1%,"下跌","震荡")))</x:f>
        <x:v>上涨</x:v>
      </x:c>
      <x:c r="X36" t="str">
        <x:f>IF(T36="","数据不足",IF(T36&gt;1%,"上涨",IF(T36&lt;-1%,"下跌","震荡")))</x:f>
        <x:v>震荡</x:v>
      </x:c>
      <x:c r="Y36" t="str">
        <x:f>IF(OR(W36="数据不足",X36="数据不足"),"数据不足",IF(W36=X36,W36,IF(AND(P36&gt;0,T36&gt;0),"先弱后强",IF(AND(P36&lt;0,T36&lt;0),"先强后弱","方向反转"))))</x:f>
        <x:v>先弱后强</x:v>
      </x:c>
      <x:c r="Z36" t="str">
        <x:f>IF(H36="","无黄金数据",IF(V36="","窗口未满","完整"))</x:f>
        <x:v>完整</x:v>
      </x:c>
    </x:row>
    <x:row r="37">
      <x:c r="A37" t="n">
        <x:v>33</x:v>
      </x:c>
      <x:c r="B37" s="17" t="n">
        <x:v>44545</x:v>
      </x:c>
      <x:c r="C37" t="str">
        <x:v>例会</x:v>
      </x:c>
      <x:c r="D37" s="20" t="n">
        <x:v>0.0025</x:v>
      </x:c>
      <x:c r="E37" s="20" t="n">
        <x:v>0.0025</x:v>
      </x:c>
      <x:c r="F37" s="24" t="n">
        <x:f>(E37-D37)*10000</x:f>
        <x:v>0</x:v>
      </x:c>
      <x:c r="G37" t="str">
        <x:f>IF(F37&gt;0,"加息",IF(F37&lt;0,"降息","暂停"))</x:f>
        <x:v>暂停</x:v>
      </x:c>
      <x:c r="H37" t="n">
        <x:v>1044</x:v>
      </x:c>
      <x:c r="I37" s="17" t="n">
        <x:f>IF(H37="","",INDEX('黄金价格'!$A$3:$A$1940,H37-2))</x:f>
        <x:v>44545</x:v>
      </x:c>
      <x:c r="J37" s="18" t="n">
        <x:f>IF(H37="","",INDEX('黄金价格'!$E$3:$E$1940,H37-2))</x:f>
        <x:v>1777.09</x:v>
      </x:c>
      <x:c r="K37" s="18" t="n">
        <x:f>IF(OR(H37="",H37-2+1&gt;1938),"",INDEX('黄金价格'!$E$3:$E$1940,H37-2+1))</x:f>
        <x:v>1799.02</x:v>
      </x:c>
      <x:c r="L37" s="25" t="n">
        <x:f>IF(K37="","",K37/J37-1)</x:f>
        <x:v>0.012340399191937523</x:v>
      </x:c>
      <x:c r="M37" s="18" t="n">
        <x:f>IF(OR(H37="",H37-2+3&gt;1938),"",INDEX('黄金价格'!$E$3:$E$1940,H37-2+3))</x:f>
        <x:v>1790.3</x:v>
      </x:c>
      <x:c r="N37" s="25" t="n">
        <x:f>IF(M37="","",M37/J37-1)</x:f>
        <x:v>0.007433500835635876</x:v>
      </x:c>
      <x:c r="O37" s="18" t="n">
        <x:f>IF(OR(H37="",H37-2+5&gt;1938),"",INDEX('黄金价格'!$E$3:$E$1940,H37-2+5))</x:f>
        <x:v>1803.54</x:v>
      </x:c>
      <x:c r="P37" s="25" t="n">
        <x:f>IF(O37="","",O37/J37-1)</x:f>
        <x:v>0.01488388320231393</x:v>
      </x:c>
      <x:c r="Q37" s="18" t="n">
        <x:f>IF(OR(H37="",H37-2+10&gt;1938),"",INDEX('黄金价格'!$E$3:$E$1940,H37-2+10))</x:f>
        <x:v>1815.08</x:v>
      </x:c>
      <x:c r="R37" s="25" t="n">
        <x:f>IF(Q37="","",Q37/J37-1)</x:f>
        <x:v>0.02137764547659371</x:v>
      </x:c>
      <x:c r="S37" s="18" t="n">
        <x:f>IF(OR(H37="",H37-2+20&gt;1938),"",INDEX('黄金价格'!$E$3:$E$1940,H37-2+20))</x:f>
        <x:v>1822.71</x:v>
      </x:c>
      <x:c r="T37" s="25" t="n">
        <x:f>IF(S37="","",S37/J37-1)</x:f>
        <x:v>0.02567118153835768</x:v>
      </x:c>
      <x:c r="U37" s="18" t="n">
        <x:f>IF(OR(H37="",H37-2+60&gt;1938),"",INDEX('黄金价格'!$E$3:$E$1940,H37-2+60))</x:f>
        <x:v>1996.01</x:v>
      </x:c>
      <x:c r="V37" s="25" t="n">
        <x:f>IF(U37="","",U37/J37-1)</x:f>
        <x:v>0.12319015919283771</x:v>
      </x:c>
      <x:c r="W37" t="str">
        <x:f>IF(P37="","数据不足",IF(P37&gt;1%,"上涨",IF(P37&lt;-1%,"下跌","震荡")))</x:f>
        <x:v>上涨</x:v>
      </x:c>
      <x:c r="X37" t="str">
        <x:f>IF(T37="","数据不足",IF(T37&gt;1%,"上涨",IF(T37&lt;-1%,"下跌","震荡")))</x:f>
        <x:v>上涨</x:v>
      </x:c>
      <x:c r="Y37" t="str">
        <x:f>IF(OR(W37="数据不足",X37="数据不足"),"数据不足",IF(W37=X37,W37,IF(AND(P37&gt;0,T37&gt;0),"先弱后强",IF(AND(P37&lt;0,T37&lt;0),"先强后弱","方向反转"))))</x:f>
        <x:v>上涨</x:v>
      </x:c>
      <x:c r="Z37" t="str">
        <x:f>IF(H37="","无黄金数据",IF(V37="","窗口未满","完整"))</x:f>
        <x:v>完整</x:v>
      </x:c>
    </x:row>
    <x:row r="38">
      <x:c r="A38" t="n">
        <x:v>34</x:v>
      </x:c>
      <x:c r="B38" s="17" t="n">
        <x:v>44587</x:v>
      </x:c>
      <x:c r="C38" t="str">
        <x:v>例会</x:v>
      </x:c>
      <x:c r="D38" s="20" t="n">
        <x:v>0.0025</x:v>
      </x:c>
      <x:c r="E38" s="20" t="n">
        <x:v>0.0025</x:v>
      </x:c>
      <x:c r="F38" s="24" t="n">
        <x:f>(E38-D38)*10000</x:f>
        <x:v>0</x:v>
      </x:c>
      <x:c r="G38" t="str">
        <x:f>IF(F38&gt;0,"加息",IF(F38&lt;0,"降息","暂停"))</x:f>
        <x:v>暂停</x:v>
      </x:c>
      <x:c r="H38" t="n">
        <x:v>1073</x:v>
      </x:c>
      <x:c r="I38" s="17" t="n">
        <x:f>IF(H38="","",INDEX('黄金价格'!$A$3:$A$1940,H38-2))</x:f>
        <x:v>44587</x:v>
      </x:c>
      <x:c r="J38" s="18" t="n">
        <x:f>IF(H38="","",INDEX('黄金价格'!$E$3:$E$1940,H38-2))</x:f>
        <x:v>1818.84</x:v>
      </x:c>
      <x:c r="K38" s="18" t="n">
        <x:f>IF(OR(H38="",H38-2+1&gt;1938),"",INDEX('黄金价格'!$E$3:$E$1940,H38-2+1))</x:f>
        <x:v>1796.7</x:v>
      </x:c>
      <x:c r="L38" s="25" t="n">
        <x:f>IF(K38="","",K38/J38-1)</x:f>
        <x:v>-0.012172593521145303</x:v>
      </x:c>
      <x:c r="M38" s="18" t="n">
        <x:f>IF(OR(H38="",H38-2+3&gt;1938),"",INDEX('黄金价格'!$E$3:$E$1940,H38-2+3))</x:f>
        <x:v>1796.88</x:v>
      </x:c>
      <x:c r="N38" s="25" t="n">
        <x:f>IF(M38="","",M38/J38-1)</x:f>
        <x:v>-0.012073629346176618</x:v>
      </x:c>
      <x:c r="O38" s="18" t="n">
        <x:f>IF(OR(H38="",H38-2+5&gt;1938),"",INDEX('黄金价格'!$E$3:$E$1940,H38-2+5))</x:f>
        <x:v>1806.86</x:v>
      </x:c>
      <x:c r="P38" s="25" t="n">
        <x:f>IF(O38="","",O38/J38-1)</x:f>
        <x:v>-0.006586615645136518</x:v>
      </x:c>
      <x:c r="Q38" s="18" t="n">
        <x:f>IF(OR(H38="",H38-2+10&gt;1938),"",INDEX('黄金价格'!$E$3:$E$1940,H38-2+10))</x:f>
        <x:v>1832.87</x:v>
      </x:c>
      <x:c r="R38" s="25" t="n">
        <x:f>IF(Q38="","",Q38/J38-1)</x:f>
        <x:v>0.007713707637835077</x:v>
      </x:c>
      <x:c r="S38" s="18" t="n">
        <x:f>IF(OR(H38="",H38-2+20&gt;1938),"",INDEX('黄金价格'!$E$3:$E$1940,H38-2+20))</x:f>
        <x:v>1908.08</x:v>
      </x:c>
      <x:c r="T38" s="25" t="n">
        <x:f>IF(S38="","",S38/J38-1)</x:f>
        <x:v>0.049064238745574196</x:v>
      </x:c>
      <x:c r="U38" s="18" t="n">
        <x:f>IF(OR(H38="",H38-2+60&gt;1938),"",INDEX('黄金价格'!$E$3:$E$1940,H38-2+60))</x:f>
        <x:v>1951.74</x:v>
      </x:c>
      <x:c r="V38" s="25" t="n">
        <x:f>IF(U38="","",U38/J38-1)</x:f>
        <x:v>0.07306854918519501</x:v>
      </x:c>
      <x:c r="W38" t="str">
        <x:f>IF(P38="","数据不足",IF(P38&gt;1%,"上涨",IF(P38&lt;-1%,"下跌","震荡")))</x:f>
        <x:v>震荡</x:v>
      </x:c>
      <x:c r="X38" t="str">
        <x:f>IF(T38="","数据不足",IF(T38&gt;1%,"上涨",IF(T38&lt;-1%,"下跌","震荡")))</x:f>
        <x:v>上涨</x:v>
      </x:c>
      <x:c r="Y38" t="str">
        <x:f>IF(OR(W38="数据不足",X38="数据不足"),"数据不足",IF(W38=X38,W38,IF(AND(P38&gt;0,T38&gt;0),"先弱后强",IF(AND(P38&lt;0,T38&lt;0),"先强后弱","方向反转"))))</x:f>
        <x:v>方向反转</x:v>
      </x:c>
      <x:c r="Z38" t="str">
        <x:f>IF(H38="","无黄金数据",IF(V38="","窗口未满","完整"))</x:f>
        <x:v>完整</x:v>
      </x:c>
    </x:row>
    <x:row r="39">
      <x:c r="A39" t="n">
        <x:v>35</x:v>
      </x:c>
      <x:c r="B39" s="17" t="n">
        <x:v>44636</x:v>
      </x:c>
      <x:c r="C39" t="str">
        <x:v>例会</x:v>
      </x:c>
      <x:c r="D39" s="20" t="n">
        <x:v>0.0025</x:v>
      </x:c>
      <x:c r="E39" s="20" t="n">
        <x:v>0.005</x:v>
      </x:c>
      <x:c r="F39" s="24" t="n">
        <x:f>(E39-D39)*10000</x:f>
        <x:v>25</x:v>
      </x:c>
      <x:c r="G39" t="str">
        <x:f>IF(F39&gt;0,"加息",IF(F39&lt;0,"降息","暂停"))</x:f>
        <x:v>加息</x:v>
      </x:c>
      <x:c r="H39" t="n">
        <x:v>1108</x:v>
      </x:c>
      <x:c r="I39" s="17" t="n">
        <x:f>IF(H39="","",INDEX('黄金价格'!$A$3:$A$1940,H39-2))</x:f>
        <x:v>44636</x:v>
      </x:c>
      <x:c r="J39" s="18" t="n">
        <x:f>IF(H39="","",INDEX('黄金价格'!$E$3:$E$1940,H39-2))</x:f>
        <x:v>1924.83</x:v>
      </x:c>
      <x:c r="K39" s="18" t="n">
        <x:f>IF(OR(H39="",H39-2+1&gt;1938),"",INDEX('黄金价格'!$E$3:$E$1940,H39-2+1))</x:f>
        <x:v>1942.56</x:v>
      </x:c>
      <x:c r="L39" s="25" t="n">
        <x:f>IF(K39="","",K39/J39-1)</x:f>
        <x:v>0.009211203067283957</x:v>
      </x:c>
      <x:c r="M39" s="18" t="n">
        <x:f>IF(OR(H39="",H39-2+3&gt;1938),"",INDEX('黄金价格'!$E$3:$E$1940,H39-2+3))</x:f>
        <x:v>1934.91</x:v>
      </x:c>
      <x:c r="N39" s="25" t="n">
        <x:f>IF(M39="","",M39/J39-1)</x:f>
        <x:v>0.0052368261093187485</x:v>
      </x:c>
      <x:c r="O39" s="18" t="n">
        <x:f>IF(OR(H39="",H39-2+5&gt;1938),"",INDEX('黄金价格'!$E$3:$E$1940,H39-2+5))</x:f>
        <x:v>1944.86</x:v>
      </x:c>
      <x:c r="P39" s="25" t="n">
        <x:f>IF(O39="","",O39/J39-1)</x:f>
        <x:v>0.010406113786672</x:v>
      </x:c>
      <x:c r="Q39" s="18" t="n">
        <x:f>IF(OR(H39="",H39-2+10&gt;1938),"",INDEX('黄金价格'!$E$3:$E$1940,H39-2+10))</x:f>
        <x:v>1933.13</x:v>
      </x:c>
      <x:c r="R39" s="25" t="n">
        <x:f>IF(Q39="","",Q39/J39-1)</x:f>
        <x:v>0.00431206911779225</x:v>
      </x:c>
      <x:c r="S39" s="18" t="n">
        <x:f>IF(OR(H39="",H39-2+20&gt;1938),"",INDEX('黄金价格'!$E$3:$E$1940,H39-2+20))</x:f>
        <x:v>1977.76</x:v>
      </x:c>
      <x:c r="T39" s="25" t="n">
        <x:f>IF(S39="","",S39/J39-1)</x:f>
        <x:v>0.027498532337920878</x:v>
      </x:c>
      <x:c r="U39" s="18" t="n">
        <x:f>IF(OR(H39="",H39-2+60&gt;1938),"",INDEX('黄金价格'!$E$3:$E$1940,H39-2+60))</x:f>
        <x:v>1847.94</x:v>
      </x:c>
      <x:c r="V39" s="25" t="n">
        <x:f>IF(U39="","",U39/J39-1)</x:f>
        <x:v>-0.03994638487554736</x:v>
      </x:c>
      <x:c r="W39" t="str">
        <x:f>IF(P39="","数据不足",IF(P39&gt;1%,"上涨",IF(P39&lt;-1%,"下跌","震荡")))</x:f>
        <x:v>上涨</x:v>
      </x:c>
      <x:c r="X39" t="str">
        <x:f>IF(T39="","数据不足",IF(T39&gt;1%,"上涨",IF(T39&lt;-1%,"下跌","震荡")))</x:f>
        <x:v>上涨</x:v>
      </x:c>
      <x:c r="Y39" t="str">
        <x:f>IF(OR(W39="数据不足",X39="数据不足"),"数据不足",IF(W39=X39,W39,IF(AND(P39&gt;0,T39&gt;0),"先弱后强",IF(AND(P39&lt;0,T39&lt;0),"先强后弱","方向反转"))))</x:f>
        <x:v>上涨</x:v>
      </x:c>
      <x:c r="Z39" t="str">
        <x:f>IF(H39="","无黄金数据",IF(V39="","窗口未满","完整"))</x:f>
        <x:v>完整</x:v>
      </x:c>
    </x:row>
    <x:row r="40">
      <x:c r="A40" t="n">
        <x:v>36</x:v>
      </x:c>
      <x:c r="B40" s="17" t="n">
        <x:v>44685</x:v>
      </x:c>
      <x:c r="C40" t="str">
        <x:v>例会</x:v>
      </x:c>
      <x:c r="D40" s="20" t="n">
        <x:v>0.005</x:v>
      </x:c>
      <x:c r="E40" s="20" t="n">
        <x:v>0.01</x:v>
      </x:c>
      <x:c r="F40" s="24" t="n">
        <x:f>(E40-D40)*10000</x:f>
        <x:v>50</x:v>
      </x:c>
      <x:c r="G40" t="str">
        <x:f>IF(F40&gt;0,"加息",IF(F40&lt;0,"降息","暂停"))</x:f>
        <x:v>加息</x:v>
      </x:c>
      <x:c r="H40" t="n">
        <x:v>1142</x:v>
      </x:c>
      <x:c r="I40" s="17" t="n">
        <x:f>IF(H40="","",INDEX('黄金价格'!$A$3:$A$1940,H40-2))</x:f>
        <x:v>44685</x:v>
      </x:c>
      <x:c r="J40" s="18" t="n">
        <x:f>IF(H40="","",INDEX('黄金价格'!$E$3:$E$1940,H40-2))</x:f>
        <x:v>1881.75</x:v>
      </x:c>
      <x:c r="K40" s="18" t="n">
        <x:f>IF(OR(H40="",H40-2+1&gt;1938),"",INDEX('黄金价格'!$E$3:$E$1940,H40-2+1))</x:f>
        <x:v>1877.2</x:v>
      </x:c>
      <x:c r="L40" s="25" t="n">
        <x:f>IF(K40="","",K40/J40-1)</x:f>
        <x:v>-0.0024179620034542326</x:v>
      </x:c>
      <x:c r="M40" s="18" t="n">
        <x:f>IF(OR(H40="",H40-2+3&gt;1938),"",INDEX('黄金价格'!$E$3:$E$1940,H40-2+3))</x:f>
        <x:v>1854.13</x:v>
      </x:c>
      <x:c r="N40" s="25" t="n">
        <x:f>IF(M40="","",M40/J40-1)</x:f>
        <x:v>-0.014677826491297896</x:v>
      </x:c>
      <x:c r="O40" s="18" t="n">
        <x:f>IF(OR(H40="",H40-2+5&gt;1938),"",INDEX('黄金价格'!$E$3:$E$1940,H40-2+5))</x:f>
        <x:v>1852.3</x:v>
      </x:c>
      <x:c r="P40" s="25" t="n">
        <x:f>IF(O40="","",O40/J40-1)</x:f>
        <x:v>-0.015650325494885098</x:v>
      </x:c>
      <x:c r="Q40" s="18" t="n">
        <x:f>IF(OR(H40="",H40-2+10&gt;1938),"",INDEX('黄金价格'!$E$3:$E$1940,H40-2+10))</x:f>
        <x:v>1817.35</x:v>
      </x:c>
      <x:c r="R40" s="25" t="n">
        <x:f>IF(Q40="","",Q40/J40-1)</x:f>
        <x:v>-0.034223462202736865</x:v>
      </x:c>
      <x:c r="S40" s="18" t="n">
        <x:f>IF(OR(H40="",H40-2+20&gt;1938),"",INDEX('黄金价格'!$E$3:$E$1940,H40-2+20))</x:f>
        <x:v>1846.64</x:v>
      </x:c>
      <x:c r="T40" s="25" t="n">
        <x:f>IF(S40="","",S40/J40-1)</x:f>
        <x:v>-0.018658163943138018</x:v>
      </x:c>
      <x:c r="U40" s="18" t="n">
        <x:f>IF(OR(H40="",H40-2+60&gt;1938),"",INDEX('黄金价格'!$E$3:$E$1940,H40-2+60))</x:f>
        <x:v>1734.33</x:v>
      </x:c>
      <x:c r="V40" s="25" t="n">
        <x:f>IF(U40="","",U40/J40-1)</x:f>
        <x:v>-0.07834196891191714</x:v>
      </x:c>
      <x:c r="W40" t="str">
        <x:f>IF(P40="","数据不足",IF(P40&gt;1%,"上涨",IF(P40&lt;-1%,"下跌","震荡")))</x:f>
        <x:v>下跌</x:v>
      </x:c>
      <x:c r="X40" t="str">
        <x:f>IF(T40="","数据不足",IF(T40&gt;1%,"上涨",IF(T40&lt;-1%,"下跌","震荡")))</x:f>
        <x:v>下跌</x:v>
      </x:c>
      <x:c r="Y40" t="str">
        <x:f>IF(OR(W40="数据不足",X40="数据不足"),"数据不足",IF(W40=X40,W40,IF(AND(P40&gt;0,T40&gt;0),"先弱后强",IF(AND(P40&lt;0,T40&lt;0),"先强后弱","方向反转"))))</x:f>
        <x:v>下跌</x:v>
      </x:c>
      <x:c r="Z40" t="str">
        <x:f>IF(H40="","无黄金数据",IF(V40="","窗口未满","完整"))</x:f>
        <x:v>完整</x:v>
      </x:c>
    </x:row>
    <x:row r="41">
      <x:c r="A41" t="n">
        <x:v>37</x:v>
      </x:c>
      <x:c r="B41" s="17" t="n">
        <x:v>44727</x:v>
      </x:c>
      <x:c r="C41" t="str">
        <x:v>例会</x:v>
      </x:c>
      <x:c r="D41" s="20" t="n">
        <x:v>0.01</x:v>
      </x:c>
      <x:c r="E41" s="20" t="n">
        <x:v>0.0175</x:v>
      </x:c>
      <x:c r="F41" s="24" t="n">
        <x:f>(E41-D41)*10000</x:f>
        <x:v>75.00000000000001</x:v>
      </x:c>
      <x:c r="G41" t="str">
        <x:f>IF(F41&gt;0,"加息",IF(F41&lt;0,"降息","暂停"))</x:f>
        <x:v>加息</x:v>
      </x:c>
      <x:c r="H41" t="n">
        <x:v>1172</x:v>
      </x:c>
      <x:c r="I41" s="17" t="n">
        <x:f>IF(H41="","",INDEX('黄金价格'!$A$3:$A$1940,H41-2))</x:f>
        <x:v>44727</x:v>
      </x:c>
      <x:c r="J41" s="18" t="n">
        <x:f>IF(H41="","",INDEX('黄金价格'!$E$3:$E$1940,H41-2))</x:f>
        <x:v>1833.77</x:v>
      </x:c>
      <x:c r="K41" s="18" t="n">
        <x:f>IF(OR(H41="",H41-2+1&gt;1938),"",INDEX('黄金价格'!$E$3:$E$1940,H41-2+1))</x:f>
        <x:v>1856.47</x:v>
      </x:c>
      <x:c r="L41" s="25" t="n">
        <x:f>IF(K41="","",K41/J41-1)</x:f>
        <x:v>0.01237886976011171</x:v>
      </x:c>
      <x:c r="M41" s="18" t="n">
        <x:f>IF(OR(H41="",H41-2+3&gt;1938),"",INDEX('黄金价格'!$E$3:$E$1940,H41-2+3))</x:f>
        <x:v>1838.41</x:v>
      </x:c>
      <x:c r="N41" s="25" t="n">
        <x:f>IF(M41="","",M41/J41-1)</x:f>
        <x:v>0.002530306417926065</x:v>
      </x:c>
      <x:c r="O41" s="18" t="n">
        <x:f>IF(OR(H41="",H41-2+5&gt;1938),"",INDEX('黄金价格'!$E$3:$E$1940,H41-2+5))</x:f>
        <x:v>1838.32</x:v>
      </x:c>
      <x:c r="P41" s="25" t="n">
        <x:f>IF(O41="","",O41/J41-1)</x:f>
        <x:v>0.0024812271986127676</x:v>
      </x:c>
      <x:c r="Q41" s="18" t="n">
        <x:f>IF(OR(H41="",H41-2+10&gt;1938),"",INDEX('黄金价格'!$E$3:$E$1940,H41-2+10))</x:f>
        <x:v>1818.25</x:v>
      </x:c>
      <x:c r="R41" s="25" t="n">
        <x:f>IF(Q41="","",Q41/J41-1)</x:f>
        <x:v>-0.00846343870823496</x:v>
      </x:c>
      <x:c r="S41" s="18" t="n">
        <x:f>IF(OR(H41="",H41-2+20&gt;1938),"",INDEX('黄金价格'!$E$3:$E$1940,H41-2+20))</x:f>
        <x:v>1735.49</x:v>
      </x:c>
      <x:c r="T41" s="25" t="n">
        <x:f>IF(S41="","",S41/J41-1)</x:f>
        <x:v>-0.05359450749003414</x:v>
      </x:c>
      <x:c r="U41" s="18" t="n">
        <x:f>IF(OR(H41="",H41-2+60&gt;1938),"",INDEX('黄金价格'!$E$3:$E$1940,H41-2+60))</x:f>
        <x:v>1718.27</x:v>
      </x:c>
      <x:c r="V41" s="25" t="n">
        <x:f>IF(U41="","",U41/J41-1)</x:f>
        <x:v>-0.0629849981186299</x:v>
      </x:c>
      <x:c r="W41" t="str">
        <x:f>IF(P41="","数据不足",IF(P41&gt;1%,"上涨",IF(P41&lt;-1%,"下跌","震荡")))</x:f>
        <x:v>震荡</x:v>
      </x:c>
      <x:c r="X41" t="str">
        <x:f>IF(T41="","数据不足",IF(T41&gt;1%,"上涨",IF(T41&lt;-1%,"下跌","震荡")))</x:f>
        <x:v>下跌</x:v>
      </x:c>
      <x:c r="Y41" t="str">
        <x:f>IF(OR(W41="数据不足",X41="数据不足"),"数据不足",IF(W41=X41,W41,IF(AND(P41&gt;0,T41&gt;0),"先弱后强",IF(AND(P41&lt;0,T41&lt;0),"先强后弱","方向反转"))))</x:f>
        <x:v>方向反转</x:v>
      </x:c>
      <x:c r="Z41" t="str">
        <x:f>IF(H41="","无黄金数据",IF(V41="","窗口未满","完整"))</x:f>
        <x:v>完整</x:v>
      </x:c>
    </x:row>
    <x:row r="42">
      <x:c r="A42" t="n">
        <x:v>38</x:v>
      </x:c>
      <x:c r="B42" s="17" t="n">
        <x:v>44769</x:v>
      </x:c>
      <x:c r="C42" t="str">
        <x:v>例会</x:v>
      </x:c>
      <x:c r="D42" s="20" t="n">
        <x:v>0.0175</x:v>
      </x:c>
      <x:c r="E42" s="20" t="n">
        <x:v>0.025</x:v>
      </x:c>
      <x:c r="F42" s="24" t="n">
        <x:f>(E42-D42)*10000</x:f>
        <x:v>75</x:v>
      </x:c>
      <x:c r="G42" t="str">
        <x:f>IF(F42&gt;0,"加息",IF(F42&lt;0,"降息","暂停"))</x:f>
        <x:v>加息</x:v>
      </x:c>
      <x:c r="H42" t="n">
        <x:v>1202</x:v>
      </x:c>
      <x:c r="I42" s="17" t="n">
        <x:f>IF(H42="","",INDEX('黄金价格'!$A$3:$A$1940,H42-2))</x:f>
        <x:v>44769</x:v>
      </x:c>
      <x:c r="J42" s="18" t="n">
        <x:f>IF(H42="","",INDEX('黄金价格'!$E$3:$E$1940,H42-2))</x:f>
        <x:v>1734.33</x:v>
      </x:c>
      <x:c r="K42" s="18" t="n">
        <x:f>IF(OR(H42="",H42-2+1&gt;1938),"",INDEX('黄金价格'!$E$3:$E$1940,H42-2+1))</x:f>
        <x:v>1755.83</x:v>
      </x:c>
      <x:c r="L42" s="25" t="n">
        <x:f>IF(K42="","",K42/J42-1)</x:f>
        <x:v>0.012396718040972532</x:v>
      </x:c>
      <x:c r="M42" s="18" t="n">
        <x:f>IF(OR(H42="",H42-2+3&gt;1938),"",INDEX('黄金价格'!$E$3:$E$1940,H42-2+3))</x:f>
        <x:v>1772.12</x:v>
      </x:c>
      <x:c r="N42" s="25" t="n">
        <x:f>IF(M42="","",M42/J42-1)</x:f>
        <x:v>0.02178939417527226</x:v>
      </x:c>
      <x:c r="O42" s="18" t="n">
        <x:f>IF(OR(H42="",H42-2+5&gt;1938),"",INDEX('黄金价格'!$E$3:$E$1940,H42-2+5))</x:f>
        <x:v>1765.47</x:v>
      </x:c>
      <x:c r="P42" s="25" t="n">
        <x:f>IF(O42="","",O42/J42-1)</x:f>
        <x:v>0.017955060455622673</x:v>
      </x:c>
      <x:c r="Q42" s="18" t="n">
        <x:f>IF(OR(H42="",H42-2+10&gt;1938),"",INDEX('黄金价格'!$E$3:$E$1940,H42-2+10))</x:f>
        <x:v>1792.19</x:v>
      </x:c>
      <x:c r="R42" s="25" t="n">
        <x:f>IF(Q42="","",Q42/J42-1)</x:f>
        <x:v>0.03336158631863606</x:v>
      </x:c>
      <x:c r="S42" s="18" t="n">
        <x:f>IF(OR(H42="",H42-2+20&gt;1938),"",INDEX('黄金价格'!$E$3:$E$1940,H42-2+20))</x:f>
        <x:v>1751.29</x:v>
      </x:c>
      <x:c r="T42" s="25" t="n">
        <x:f>IF(S42="","",S42/J42-1)</x:f>
        <x:v>0.009778992463948644</x:v>
      </x:c>
      <x:c r="U42" s="18" t="n">
        <x:f>IF(OR(H42="",H42-2+60&gt;1938),"",INDEX('黄金价格'!$E$3:$E$1940,H42-2+60))</x:f>
        <x:v>1629.01</x:v>
      </x:c>
      <x:c r="V42" s="25" t="n">
        <x:f>IF(U42="","",U42/J42-1)</x:f>
        <x:v>-0.060726620654661945</x:v>
      </x:c>
      <x:c r="W42" t="str">
        <x:f>IF(P42="","数据不足",IF(P42&gt;1%,"上涨",IF(P42&lt;-1%,"下跌","震荡")))</x:f>
        <x:v>上涨</x:v>
      </x:c>
      <x:c r="X42" t="str">
        <x:f>IF(T42="","数据不足",IF(T42&gt;1%,"上涨",IF(T42&lt;-1%,"下跌","震荡")))</x:f>
        <x:v>震荡</x:v>
      </x:c>
      <x:c r="Y42" t="str">
        <x:f>IF(OR(W42="数据不足",X42="数据不足"),"数据不足",IF(W42=X42,W42,IF(AND(P42&gt;0,T42&gt;0),"先弱后强",IF(AND(P42&lt;0,T42&lt;0),"先强后弱","方向反转"))))</x:f>
        <x:v>先弱后强</x:v>
      </x:c>
      <x:c r="Z42" t="str">
        <x:f>IF(H42="","无黄金数据",IF(V42="","窗口未满","完整"))</x:f>
        <x:v>完整</x:v>
      </x:c>
    </x:row>
    <x:row r="43">
      <x:c r="A43" t="n">
        <x:v>39</x:v>
      </x:c>
      <x:c r="B43" s="17" t="n">
        <x:v>44825</x:v>
      </x:c>
      <x:c r="C43" t="str">
        <x:v>例会</x:v>
      </x:c>
      <x:c r="D43" s="20" t="n">
        <x:v>0.025</x:v>
      </x:c>
      <x:c r="E43" s="20" t="n">
        <x:v>0.0325</x:v>
      </x:c>
      <x:c r="F43" s="24" t="n">
        <x:f>(E43-D43)*10000</x:f>
        <x:v>75</x:v>
      </x:c>
      <x:c r="G43" t="str">
        <x:f>IF(F43&gt;0,"加息",IF(F43&lt;0,"降息","暂停"))</x:f>
        <x:v>加息</x:v>
      </x:c>
      <x:c r="H43" t="n">
        <x:v>1242</x:v>
      </x:c>
      <x:c r="I43" s="17" t="n">
        <x:f>IF(H43="","",INDEX('黄金价格'!$A$3:$A$1940,H43-2))</x:f>
        <x:v>44825</x:v>
      </x:c>
      <x:c r="J43" s="18" t="n">
        <x:f>IF(H43="","",INDEX('黄金价格'!$E$3:$E$1940,H43-2))</x:f>
        <x:v>1673.73</x:v>
      </x:c>
      <x:c r="K43" s="18" t="n">
        <x:f>IF(OR(H43="",H43-2+1&gt;1938),"",INDEX('黄金价格'!$E$3:$E$1940,H43-2+1))</x:f>
        <x:v>1671.16</x:v>
      </x:c>
      <x:c r="L43" s="25" t="n">
        <x:f>IF(K43="","",K43/J43-1)</x:f>
        <x:v>-0.0015354925824355714</x:v>
      </x:c>
      <x:c r="M43" s="18" t="n">
        <x:f>IF(OR(H43="",H43-2+3&gt;1938),"",INDEX('黄金价格'!$E$3:$E$1940,H43-2+3))</x:f>
        <x:v>1622.4</x:v>
      </x:c>
      <x:c r="N43" s="25" t="n">
        <x:f>IF(M43="","",M43/J43-1)</x:f>
        <x:v>-0.030668028893549137</x:v>
      </x:c>
      <x:c r="O43" s="18" t="n">
        <x:f>IF(OR(H43="",H43-2+5&gt;1938),"",INDEX('黄金价格'!$E$3:$E$1940,H43-2+5))</x:f>
        <x:v>1659.88</x:v>
      </x:c>
      <x:c r="P43" s="25" t="n">
        <x:f>IF(O43="","",O43/J43-1)</x:f>
        <x:v>-0.008274930843086947</x:v>
      </x:c>
      <x:c r="Q43" s="18" t="n">
        <x:f>IF(OR(H43="",H43-2+10&gt;1938),"",INDEX('黄金价格'!$E$3:$E$1940,H43-2+10))</x:f>
        <x:v>1716.25</x:v>
      </x:c>
      <x:c r="R43" s="25" t="n">
        <x:f>IF(Q43="","",Q43/J43-1)</x:f>
        <x:v>0.02540433642224249</x:v>
      </x:c>
      <x:c r="S43" s="18" t="n">
        <x:f>IF(OR(H43="",H43-2+20&gt;1938),"",INDEX('黄金价格'!$E$3:$E$1940,H43-2+20))</x:f>
        <x:v>1629.01</x:v>
      </x:c>
      <x:c r="T43" s="25" t="n">
        <x:f>IF(S43="","",S43/J43-1)</x:f>
        <x:v>-0.026718765870241912</x:v>
      </x:c>
      <x:c r="U43" s="18" t="n">
        <x:f>IF(OR(H43="",H43-2+60&gt;1938),"",INDEX('黄金价格'!$E$3:$E$1940,H43-2+60))</x:f>
        <x:v>1807.2</x:v>
      </x:c>
      <x:c r="V43" s="25" t="n">
        <x:f>IF(U43="","",U43/J43-1)</x:f>
        <x:v>0.07974404473839858</x:v>
      </x:c>
      <x:c r="W43" t="str">
        <x:f>IF(P43="","数据不足",IF(P43&gt;1%,"上涨",IF(P43&lt;-1%,"下跌","震荡")))</x:f>
        <x:v>震荡</x:v>
      </x:c>
      <x:c r="X43" t="str">
        <x:f>IF(T43="","数据不足",IF(T43&gt;1%,"上涨",IF(T43&lt;-1%,"下跌","震荡")))</x:f>
        <x:v>下跌</x:v>
      </x:c>
      <x:c r="Y43" t="str">
        <x:f>IF(OR(W43="数据不足",X43="数据不足"),"数据不足",IF(W43=X43,W43,IF(AND(P43&gt;0,T43&gt;0),"先弱后强",IF(AND(P43&lt;0,T43&lt;0),"先强后弱","方向反转"))))</x:f>
        <x:v>先强后弱</x:v>
      </x:c>
      <x:c r="Z43" t="str">
        <x:f>IF(H43="","无黄金数据",IF(V43="","窗口未满","完整"))</x:f>
        <x:v>完整</x:v>
      </x:c>
    </x:row>
    <x:row r="44">
      <x:c r="A44" t="n">
        <x:v>40</x:v>
      </x:c>
      <x:c r="B44" s="17" t="n">
        <x:v>44867</x:v>
      </x:c>
      <x:c r="C44" t="str">
        <x:v>例会</x:v>
      </x:c>
      <x:c r="D44" s="20" t="n">
        <x:v>0.0325</x:v>
      </x:c>
      <x:c r="E44" s="20" t="n">
        <x:v>0.04</x:v>
      </x:c>
      <x:c r="F44" s="24" t="n">
        <x:f>(E44-D44)*10000</x:f>
        <x:v>75</x:v>
      </x:c>
      <x:c r="G44" t="str">
        <x:f>IF(F44&gt;0,"加息",IF(F44&lt;0,"降息","暂停"))</x:f>
        <x:v>加息</x:v>
      </x:c>
      <x:c r="H44" t="n">
        <x:v>1272</x:v>
      </x:c>
      <x:c r="I44" s="17" t="n">
        <x:f>IF(H44="","",INDEX('黄金价格'!$A$3:$A$1940,H44-2))</x:f>
        <x:v>44867</x:v>
      </x:c>
      <x:c r="J44" s="18" t="n">
        <x:f>IF(H44="","",INDEX('黄金价格'!$E$3:$E$1940,H44-2))</x:f>
        <x:v>1635.07</x:v>
      </x:c>
      <x:c r="K44" s="18" t="n">
        <x:f>IF(OR(H44="",H44-2+1&gt;1938),"",INDEX('黄金价格'!$E$3:$E$1940,H44-2+1))</x:f>
        <x:v>1629.55</x:v>
      </x:c>
      <x:c r="L44" s="25" t="n">
        <x:f>IF(K44="","",K44/J44-1)</x:f>
        <x:v>-0.003376002250668142</x:v>
      </x:c>
      <x:c r="M44" s="18" t="n">
        <x:f>IF(OR(H44="",H44-2+3&gt;1938),"",INDEX('黄金价格'!$E$3:$E$1940,H44-2+3))</x:f>
        <x:v>1675.31</x:v>
      </x:c>
      <x:c r="N44" s="25" t="n">
        <x:f>IF(M44="","",M44/J44-1)</x:f>
        <x:v>0.024610567131682526</x:v>
      </x:c>
      <x:c r="O44" s="18" t="n">
        <x:f>IF(OR(H44="",H44-2+5&gt;1938),"",INDEX('黄金价格'!$E$3:$E$1940,H44-2+5))</x:f>
        <x:v>1706.92</x:v>
      </x:c>
      <x:c r="P44" s="25" t="n">
        <x:f>IF(O44="","",O44/J44-1)</x:f>
        <x:v>0.04394307277364273</x:v>
      </x:c>
      <x:c r="Q44" s="18" t="n">
        <x:f>IF(OR(H44="",H44-2+10&gt;1938),"",INDEX('黄金价格'!$E$3:$E$1940,H44-2+10))</x:f>
        <x:v>1773.79</x:v>
      </x:c>
      <x:c r="R44" s="25" t="n">
        <x:f>IF(Q44="","",Q44/J44-1)</x:f>
        <x:v>0.08484040438635665</x:v>
      </x:c>
      <x:c r="S44" s="18" t="n">
        <x:f>IF(OR(H44="",H44-2+20&gt;1938),"",INDEX('黄金价格'!$E$3:$E$1940,H44-2+20))</x:f>
        <x:v>1768.39</x:v>
      </x:c>
      <x:c r="T44" s="25" t="n">
        <x:f>IF(S44="","",S44/J44-1)</x:f>
        <x:v>0.08153779348896384</x:v>
      </x:c>
      <x:c r="U44" s="18" t="n">
        <x:f>IF(OR(H44="",H44-2+60&gt;1938),"",INDEX('黄金价格'!$E$3:$E$1940,H44-2+60))</x:f>
        <x:v>1928.3</x:v>
      </x:c>
      <x:c r="V44" s="25" t="n">
        <x:f>IF(U44="","",U44/J44-1)</x:f>
        <x:v>0.17933788767453374</x:v>
      </x:c>
      <x:c r="W44" t="str">
        <x:f>IF(P44="","数据不足",IF(P44&gt;1%,"上涨",IF(P44&lt;-1%,"下跌","震荡")))</x:f>
        <x:v>上涨</x:v>
      </x:c>
      <x:c r="X44" t="str">
        <x:f>IF(T44="","数据不足",IF(T44&gt;1%,"上涨",IF(T44&lt;-1%,"下跌","震荡")))</x:f>
        <x:v>上涨</x:v>
      </x:c>
      <x:c r="Y44" t="str">
        <x:f>IF(OR(W44="数据不足",X44="数据不足"),"数据不足",IF(W44=X44,W44,IF(AND(P44&gt;0,T44&gt;0),"先弱后强",IF(AND(P44&lt;0,T44&lt;0),"先强后弱","方向反转"))))</x:f>
        <x:v>上涨</x:v>
      </x:c>
      <x:c r="Z44" t="str">
        <x:f>IF(H44="","无黄金数据",IF(V44="","窗口未满","完整"))</x:f>
        <x:v>完整</x:v>
      </x:c>
    </x:row>
    <x:row r="45">
      <x:c r="A45" t="n">
        <x:v>41</x:v>
      </x:c>
      <x:c r="B45" s="17" t="n">
        <x:v>44909</x:v>
      </x:c>
      <x:c r="C45" t="str">
        <x:v>例会</x:v>
      </x:c>
      <x:c r="D45" s="20" t="n">
        <x:v>0.04</x:v>
      </x:c>
      <x:c r="E45" s="20" t="n">
        <x:v>0.045</x:v>
      </x:c>
      <x:c r="F45" s="24" t="n">
        <x:f>(E45-D45)*10000</x:f>
        <x:v>49.99999999999997</x:v>
      </x:c>
      <x:c r="G45" t="str">
        <x:f>IF(F45&gt;0,"加息",IF(F45&lt;0,"降息","暂停"))</x:f>
        <x:v>加息</x:v>
      </x:c>
      <x:c r="H45" t="n">
        <x:v>1302</x:v>
      </x:c>
      <x:c r="I45" s="17" t="n">
        <x:f>IF(H45="","",INDEX('黄金价格'!$A$3:$A$1940,H45-2))</x:f>
        <x:v>44909</x:v>
      </x:c>
      <x:c r="J45" s="18" t="n">
        <x:f>IF(H45="","",INDEX('黄金价格'!$E$3:$E$1940,H45-2))</x:f>
        <x:v>1807.2</x:v>
      </x:c>
      <x:c r="K45" s="18" t="n">
        <x:f>IF(OR(H45="",H45-2+1&gt;1938),"",INDEX('黄金价格'!$E$3:$E$1940,H45-2+1))</x:f>
        <x:v>1776.8</x:v>
      </x:c>
      <x:c r="L45" s="25" t="n">
        <x:f>IF(K45="","",K45/J45-1)</x:f>
        <x:v>-0.01682160247897302</x:v>
      </x:c>
      <x:c r="M45" s="18" t="n">
        <x:f>IF(OR(H45="",H45-2+3&gt;1938),"",INDEX('黄金价格'!$E$3:$E$1940,H45-2+3))</x:f>
        <x:v>1787.65</x:v>
      </x:c>
      <x:c r="N45" s="25" t="n">
        <x:f>IF(M45="","",M45/J45-1)</x:f>
        <x:v>-0.01081783975210271</x:v>
      </x:c>
      <x:c r="O45" s="18" t="n">
        <x:f>IF(OR(H45="",H45-2+5&gt;1938),"",INDEX('黄金价格'!$E$3:$E$1940,H45-2+5))</x:f>
        <x:v>1814.15</x:v>
      </x:c>
      <x:c r="P45" s="25" t="n">
        <x:f>IF(O45="","",O45/J45-1)</x:f>
        <x:v>0.003845728198317966</x:v>
      </x:c>
      <x:c r="Q45" s="18" t="n">
        <x:f>IF(OR(H45="",H45-2+10&gt;1938),"",INDEX('黄金价格'!$E$3:$E$1940,H45-2+10))</x:f>
        <x:v>1814.79</x:v>
      </x:c>
      <x:c r="R45" s="25" t="n">
        <x:f>IF(Q45="","",Q45/J45-1)</x:f>
        <x:v>0.004199867197875129</x:v>
      </x:c>
      <x:c r="S45" s="18" t="n">
        <x:f>IF(OR(H45="",H45-2+20&gt;1938),"",INDEX('黄金价格'!$E$3:$E$1940,H45-2+20))</x:f>
        <x:v>1920.29</x:v>
      </x:c>
      <x:c r="T45" s="25" t="n">
        <x:f>IF(S45="","",S45/J45-1)</x:f>
        <x:v>0.06257746790615304</x:v>
      </x:c>
      <x:c r="U45" s="18" t="n">
        <x:f>IF(OR(H45="",H45-2+60&gt;1938),"",INDEX('黄金价格'!$E$3:$E$1940,H45-2+60))</x:f>
        <x:v>1867.15</x:v>
      </x:c>
      <x:c r="V45" s="25" t="n">
        <x:f>IF(U45="","",U45/J45-1)</x:f>
        <x:v>0.03317286409915887</x:v>
      </x:c>
      <x:c r="W45" t="str">
        <x:f>IF(P45="","数据不足",IF(P45&gt;1%,"上涨",IF(P45&lt;-1%,"下跌","震荡")))</x:f>
        <x:v>震荡</x:v>
      </x:c>
      <x:c r="X45" t="str">
        <x:f>IF(T45="","数据不足",IF(T45&gt;1%,"上涨",IF(T45&lt;-1%,"下跌","震荡")))</x:f>
        <x:v>上涨</x:v>
      </x:c>
      <x:c r="Y45" t="str">
        <x:f>IF(OR(W45="数据不足",X45="数据不足"),"数据不足",IF(W45=X45,W45,IF(AND(P45&gt;0,T45&gt;0),"先弱后强",IF(AND(P45&lt;0,T45&lt;0),"先强后弱","方向反转"))))</x:f>
        <x:v>先弱后强</x:v>
      </x:c>
      <x:c r="Z45" t="str">
        <x:f>IF(H45="","无黄金数据",IF(V45="","窗口未满","完整"))</x:f>
        <x:v>完整</x:v>
      </x:c>
    </x:row>
    <x:row r="46">
      <x:c r="A46" t="n">
        <x:v>42</x:v>
      </x:c>
      <x:c r="B46" s="17" t="n">
        <x:v>44958</x:v>
      </x:c>
      <x:c r="C46" t="str">
        <x:v>例会</x:v>
      </x:c>
      <x:c r="D46" s="20" t="n">
        <x:v>0.045</x:v>
      </x:c>
      <x:c r="E46" s="20" t="n">
        <x:v>0.0475</x:v>
      </x:c>
      <x:c r="F46" s="24" t="n">
        <x:f>(E46-D46)*10000</x:f>
        <x:v>25.00000000000002</x:v>
      </x:c>
      <x:c r="G46" t="str">
        <x:f>IF(F46&gt;0,"加息",IF(F46&lt;0,"降息","暂停"))</x:f>
        <x:v>加息</x:v>
      </x:c>
      <x:c r="H46" t="n">
        <x:v>1335</x:v>
      </x:c>
      <x:c r="I46" s="17" t="n">
        <x:f>IF(H46="","",INDEX('黄金价格'!$A$3:$A$1940,H46-2))</x:f>
        <x:v>44958</x:v>
      </x:c>
      <x:c r="J46" s="18" t="n">
        <x:f>IF(H46="","",INDEX('黄金价格'!$E$3:$E$1940,H46-2))</x:f>
        <x:v>1950.06</x:v>
      </x:c>
      <x:c r="K46" s="18" t="n">
        <x:f>IF(OR(H46="",H46-2+1&gt;1938),"",INDEX('黄金价格'!$E$3:$E$1940,H46-2+1))</x:f>
        <x:v>1912.6</x:v>
      </x:c>
      <x:c r="L46" s="25" t="n">
        <x:f>IF(K46="","",K46/J46-1)</x:f>
        <x:v>-0.019209665343630444</x:v>
      </x:c>
      <x:c r="M46" s="18" t="n">
        <x:f>IF(OR(H46="",H46-2+3&gt;1938),"",INDEX('黄金价格'!$E$3:$E$1940,H46-2+3))</x:f>
        <x:v>1867.65</x:v>
      </x:c>
      <x:c r="N46" s="25" t="n">
        <x:f>IF(M46="","",M46/J46-1)</x:f>
        <x:v>-0.04226023814651847</x:v>
      </x:c>
      <x:c r="O46" s="18" t="n">
        <x:f>IF(OR(H46="",H46-2+5&gt;1938),"",INDEX('黄金价格'!$E$3:$E$1940,H46-2+5))</x:f>
        <x:v>1875.55</x:v>
      </x:c>
      <x:c r="P46" s="25" t="n">
        <x:f>IF(O46="","",O46/J46-1)</x:f>
        <x:v>-0.038209080746233415</x:v>
      </x:c>
      <x:c r="Q46" s="18" t="n">
        <x:f>IF(OR(H46="",H46-2+10&gt;1938),"",INDEX('黄金价格'!$E$3:$E$1940,H46-2+10))</x:f>
        <x:v>1835.85</x:v>
      </x:c>
      <x:c r="R46" s="25" t="n">
        <x:f>IF(Q46="","",Q46/J46-1)</x:f>
        <x:v>-0.05856742869450171</x:v>
      </x:c>
      <x:c r="S46" s="18" t="n">
        <x:f>IF(OR(H46="",H46-2+20&gt;1938),"",INDEX('黄金价格'!$E$3:$E$1940,H46-2+20))</x:f>
        <x:v>1836.56</x:v>
      </x:c>
      <x:c r="T46" s="25" t="n">
        <x:f>IF(S46="","",S46/J46-1)</x:f>
        <x:v>-0.05820333733321026</x:v>
      </x:c>
      <x:c r="U46" s="18" t="n">
        <x:f>IF(OR(H46="",H46-2+60&gt;1938),"",INDEX('黄金价格'!$E$3:$E$1940,H46-2+60))</x:f>
        <x:v>1987.74</x:v>
      </x:c>
      <x:c r="V46" s="25" t="n">
        <x:f>IF(U46="","",U46/J46-1)</x:f>
        <x:v>0.019322482385157436</x:v>
      </x:c>
      <x:c r="W46" t="str">
        <x:f>IF(P46="","数据不足",IF(P46&gt;1%,"上涨",IF(P46&lt;-1%,"下跌","震荡")))</x:f>
        <x:v>下跌</x:v>
      </x:c>
      <x:c r="X46" t="str">
        <x:f>IF(T46="","数据不足",IF(T46&gt;1%,"上涨",IF(T46&lt;-1%,"下跌","震荡")))</x:f>
        <x:v>下跌</x:v>
      </x:c>
      <x:c r="Y46" t="str">
        <x:f>IF(OR(W46="数据不足",X46="数据不足"),"数据不足",IF(W46=X46,W46,IF(AND(P46&gt;0,T46&gt;0),"先弱后强",IF(AND(P46&lt;0,T46&lt;0),"先强后弱","方向反转"))))</x:f>
        <x:v>下跌</x:v>
      </x:c>
      <x:c r="Z46" t="str">
        <x:f>IF(H46="","无黄金数据",IF(V46="","窗口未满","完整"))</x:f>
        <x:v>完整</x:v>
      </x:c>
    </x:row>
    <x:row r="47">
      <x:c r="A47" t="n">
        <x:v>43</x:v>
      </x:c>
      <x:c r="B47" s="17" t="n">
        <x:v>45007</x:v>
      </x:c>
      <x:c r="C47" t="str">
        <x:v>例会</x:v>
      </x:c>
      <x:c r="D47" s="20" t="n">
        <x:v>0.0475</x:v>
      </x:c>
      <x:c r="E47" s="20" t="n">
        <x:v>0.05</x:v>
      </x:c>
      <x:c r="F47" s="24" t="n">
        <x:f>(E47-D47)*10000</x:f>
        <x:v>25.00000000000002</x:v>
      </x:c>
      <x:c r="G47" t="str">
        <x:f>IF(F47&gt;0,"加息",IF(F47&lt;0,"降息","暂停"))</x:f>
        <x:v>加息</x:v>
      </x:c>
      <x:c r="H47" t="n">
        <x:v>1370</x:v>
      </x:c>
      <x:c r="I47" s="17" t="n">
        <x:f>IF(H47="","",INDEX('黄金价格'!$A$3:$A$1940,H47-2))</x:f>
        <x:v>45007</x:v>
      </x:c>
      <x:c r="J47" s="18" t="n">
        <x:f>IF(H47="","",INDEX('黄金价格'!$E$3:$E$1940,H47-2))</x:f>
        <x:v>1969.79</x:v>
      </x:c>
      <x:c r="K47" s="18" t="n">
        <x:f>IF(OR(H47="",H47-2+1&gt;1938),"",INDEX('黄金价格'!$E$3:$E$1940,H47-2+1))</x:f>
        <x:v>1993.97</x:v>
      </x:c>
      <x:c r="L47" s="25" t="n">
        <x:f>IF(K47="","",K47/J47-1)</x:f>
        <x:v>0.012275420222460198</x:v>
      </x:c>
      <x:c r="M47" s="18" t="n">
        <x:f>IF(OR(H47="",H47-2+3&gt;1938),"",INDEX('黄金价格'!$E$3:$E$1940,H47-2+3))</x:f>
        <x:v>1956.35</x:v>
      </x:c>
      <x:c r="N47" s="25" t="n">
        <x:f>IF(M47="","",M47/J47-1)</x:f>
        <x:v>-0.006823062356901</x:v>
      </x:c>
      <x:c r="O47" s="18" t="n">
        <x:f>IF(OR(H47="",H47-2+5&gt;1938),"",INDEX('黄金价格'!$E$3:$E$1940,H47-2+5))</x:f>
        <x:v>1964.37</x:v>
      </x:c>
      <x:c r="P47" s="25" t="n">
        <x:f>IF(O47="","",O47/J47-1)</x:f>
        <x:v>-0.002751562349285974</x:v>
      </x:c>
      <x:c r="Q47" s="18" t="n">
        <x:f>IF(OR(H47="",H47-2+10&gt;1938),"",INDEX('黄金价格'!$E$3:$E$1940,H47-2+10))</x:f>
        <x:v>2020.66</x:v>
      </x:c>
      <x:c r="R47" s="25" t="n">
        <x:f>IF(Q47="","",Q47/J47-1)</x:f>
        <x:v>0.025825087953538217</x:v>
      </x:c>
      <x:c r="S47" s="18" t="n">
        <x:f>IF(OR(H47="",H47-2+20&gt;1938),"",INDEX('黄金价格'!$E$3:$E$1940,H47-2+20))</x:f>
        <x:v>2004.7</x:v>
      </x:c>
      <x:c r="T47" s="25" t="n">
        <x:f>IF(S47="","",S47/J47-1)</x:f>
        <x:v>0.017722701404718322</x:v>
      </x:c>
      <x:c r="U47" s="18" t="n">
        <x:f>IF(OR(H47="",H47-2+60&gt;1938),"",INDEX('黄金价格'!$E$3:$E$1940,H47-2+60))</x:f>
        <x:v>1957.96</x:v>
      </x:c>
      <x:c r="V47" s="25" t="n">
        <x:f>IF(U47="","",U47/J47-1)</x:f>
        <x:v>-0.00600571634539715</x:v>
      </x:c>
      <x:c r="W47" t="str">
        <x:f>IF(P47="","数据不足",IF(P47&gt;1%,"上涨",IF(P47&lt;-1%,"下跌","震荡")))</x:f>
        <x:v>震荡</x:v>
      </x:c>
      <x:c r="X47" t="str">
        <x:f>IF(T47="","数据不足",IF(T47&gt;1%,"上涨",IF(T47&lt;-1%,"下跌","震荡")))</x:f>
        <x:v>上涨</x:v>
      </x:c>
      <x:c r="Y47" t="str">
        <x:f>IF(OR(W47="数据不足",X47="数据不足"),"数据不足",IF(W47=X47,W47,IF(AND(P47&gt;0,T47&gt;0),"先弱后强",IF(AND(P47&lt;0,T47&lt;0),"先强后弱","方向反转"))))</x:f>
        <x:v>方向反转</x:v>
      </x:c>
      <x:c r="Z47" t="str">
        <x:f>IF(H47="","无黄金数据",IF(V47="","窗口未满","完整"))</x:f>
        <x:v>完整</x:v>
      </x:c>
    </x:row>
    <x:row r="48">
      <x:c r="A48" t="n">
        <x:v>44</x:v>
      </x:c>
      <x:c r="B48" s="17" t="n">
        <x:v>45049</x:v>
      </x:c>
      <x:c r="C48" t="str">
        <x:v>例会</x:v>
      </x:c>
      <x:c r="D48" s="20" t="n">
        <x:v>0.05</x:v>
      </x:c>
      <x:c r="E48" s="20" t="n">
        <x:v>0.0525</x:v>
      </x:c>
      <x:c r="F48" s="24" t="n">
        <x:f>(E48-D48)*10000</x:f>
        <x:v>24.999999999999954</x:v>
      </x:c>
      <x:c r="G48" t="str">
        <x:f>IF(F48&gt;0,"加息",IF(F48&lt;0,"降息","暂停"))</x:f>
        <x:v>加息</x:v>
      </x:c>
      <x:c r="H48" t="n">
        <x:v>1399</x:v>
      </x:c>
      <x:c r="I48" s="17" t="n">
        <x:f>IF(H48="","",INDEX('黄金价格'!$A$3:$A$1940,H48-2))</x:f>
        <x:v>45049</x:v>
      </x:c>
      <x:c r="J48" s="18" t="n">
        <x:f>IF(H48="","",INDEX('黄金价格'!$E$3:$E$1940,H48-2))</x:f>
        <x:v>2038.52</x:v>
      </x:c>
      <x:c r="K48" s="18" t="n">
        <x:f>IF(OR(H48="",H48-2+1&gt;1938),"",INDEX('黄金价格'!$E$3:$E$1940,H48-2+1))</x:f>
        <x:v>2050.15</x:v>
      </x:c>
      <x:c r="L48" s="25" t="n">
        <x:f>IF(K48="","",K48/J48-1)</x:f>
        <x:v>0.0057051194003492345</x:v>
      </x:c>
      <x:c r="M48" s="18" t="n">
        <x:f>IF(OR(H48="",H48-2+3&gt;1938),"",INDEX('黄金价格'!$E$3:$E$1940,H48-2+3))</x:f>
        <x:v>2021.36</x:v>
      </x:c>
      <x:c r="N48" s="25" t="n">
        <x:f>IF(M48="","",M48/J48-1)</x:f>
        <x:v>-0.008417871789337394</x:v>
      </x:c>
      <x:c r="O48" s="18" t="n">
        <x:f>IF(OR(H48="",H48-2+5&gt;1938),"",INDEX('黄金价格'!$E$3:$E$1940,H48-2+5))</x:f>
        <x:v>2030.1</x:v>
      </x:c>
      <x:c r="P48" s="25" t="n">
        <x:f>IF(O48="","",O48/J48-1)</x:f>
        <x:v>-0.0041304475796166695</x:v>
      </x:c>
      <x:c r="Q48" s="18" t="n">
        <x:f>IF(OR(H48="",H48-2+10&gt;1938),"",INDEX('黄金价格'!$E$3:$E$1940,H48-2+10))</x:f>
        <x:v>1981.41</x:v>
      </x:c>
      <x:c r="R48" s="25" t="n">
        <x:f>IF(Q48="","",Q48/J48-1)</x:f>
        <x:v>-0.028015422953907687</x:v>
      </x:c>
      <x:c r="S48" s="18" t="n">
        <x:f>IF(OR(H48="",H48-2+20&gt;1938),"",INDEX('黄金价格'!$E$3:$E$1940,H48-2+20))</x:f>
        <x:v>1962.6</x:v>
      </x:c>
      <x:c r="T48" s="25" t="n">
        <x:f>IF(S48="","",S48/J48-1)</x:f>
        <x:v>-0.03724270549221986</x:v>
      </x:c>
      <x:c r="U48" s="18" t="n">
        <x:f>IF(OR(H48="",H48-2+60&gt;1938),"",INDEX('黄金价格'!$E$3:$E$1940,H48-2+60))</x:f>
        <x:v>1972.27</x:v>
      </x:c>
      <x:c r="V48" s="25" t="n">
        <x:f>IF(U48="","",U48/J48-1)</x:f>
        <x:v>-0.03249906795125879</x:v>
      </x:c>
      <x:c r="W48" t="str">
        <x:f>IF(P48="","数据不足",IF(P48&gt;1%,"上涨",IF(P48&lt;-1%,"下跌","震荡")))</x:f>
        <x:v>震荡</x:v>
      </x:c>
      <x:c r="X48" t="str">
        <x:f>IF(T48="","数据不足",IF(T48&gt;1%,"上涨",IF(T48&lt;-1%,"下跌","震荡")))</x:f>
        <x:v>下跌</x:v>
      </x:c>
      <x:c r="Y48" t="str">
        <x:f>IF(OR(W48="数据不足",X48="数据不足"),"数据不足",IF(W48=X48,W48,IF(AND(P48&gt;0,T48&gt;0),"先弱后强",IF(AND(P48&lt;0,T48&lt;0),"先强后弱","方向反转"))))</x:f>
        <x:v>先强后弱</x:v>
      </x:c>
      <x:c r="Z48" t="str">
        <x:f>IF(H48="","无黄金数据",IF(V48="","窗口未满","完整"))</x:f>
        <x:v>完整</x:v>
      </x:c>
    </x:row>
    <x:row r="49">
      <x:c r="A49" t="n">
        <x:v>45</x:v>
      </x:c>
      <x:c r="B49" s="17" t="n">
        <x:v>45091</x:v>
      </x:c>
      <x:c r="C49" t="str">
        <x:v>例会</x:v>
      </x:c>
      <x:c r="D49" s="20" t="n">
        <x:v>0.0525</x:v>
      </x:c>
      <x:c r="E49" s="20" t="n">
        <x:v>0.0525</x:v>
      </x:c>
      <x:c r="F49" s="24" t="n">
        <x:f>(E49-D49)*10000</x:f>
        <x:v>0</x:v>
      </x:c>
      <x:c r="G49" t="str">
        <x:f>IF(F49&gt;0,"加息",IF(F49&lt;0,"降息","暂停"))</x:f>
        <x:v>暂停</x:v>
      </x:c>
      <x:c r="H49" t="n">
        <x:v>1429</x:v>
      </x:c>
      <x:c r="I49" s="17" t="n">
        <x:f>IF(H49="","",INDEX('黄金价格'!$A$3:$A$1940,H49-2))</x:f>
        <x:v>45091</x:v>
      </x:c>
      <x:c r="J49" s="18" t="n">
        <x:f>IF(H49="","",INDEX('黄金价格'!$E$3:$E$1940,H49-2))</x:f>
        <x:v>1941.74</x:v>
      </x:c>
      <x:c r="K49" s="18" t="n">
        <x:f>IF(OR(H49="",H49-2+1&gt;1938),"",INDEX('黄金价格'!$E$3:$E$1940,H49-2+1))</x:f>
        <x:v>1957.96</x:v>
      </x:c>
      <x:c r="L49" s="25" t="n">
        <x:f>IF(K49="","",K49/J49-1)</x:f>
        <x:v>0.008353332577996975</x:v>
      </x:c>
      <x:c r="M49" s="18" t="n">
        <x:f>IF(OR(H49="",H49-2+3&gt;1938),"",INDEX('黄金价格'!$E$3:$E$1940,H49-2+3))</x:f>
        <x:v>1950.48</x:v>
      </x:c>
      <x:c r="N49" s="25" t="n">
        <x:f>IF(M49="","",M49/J49-1)</x:f>
        <x:v>0.004501117554358558</x:v>
      </x:c>
      <x:c r="O49" s="18" t="n">
        <x:f>IF(OR(H49="",H49-2+5&gt;1938),"",INDEX('黄金价格'!$E$3:$E$1940,H49-2+5))</x:f>
        <x:v>1932.43</x:v>
      </x:c>
      <x:c r="P49" s="25" t="n">
        <x:f>IF(O49="","",O49/J49-1)</x:f>
        <x:v>-0.00479466869920786</x:v>
      </x:c>
      <x:c r="Q49" s="18" t="n">
        <x:f>IF(OR(H49="",H49-2+10&gt;1938),"",INDEX('黄金价格'!$E$3:$E$1940,H49-2+10))</x:f>
        <x:v>1907.28</x:v>
      </x:c>
      <x:c r="R49" s="25" t="n">
        <x:f>IF(Q49="","",Q49/J49-1)</x:f>
        <x:v>-0.017746969213179975</x:v>
      </x:c>
      <x:c r="S49" s="18" t="n">
        <x:f>IF(OR(H49="",H49-2+20&gt;1938),"",INDEX('黄金价格'!$E$3:$E$1940,H49-2+20))</x:f>
        <x:v>1957.35</x:v>
      </x:c>
      <x:c r="T49" s="25" t="n">
        <x:f>IF(S49="","",S49/J49-1)</x:f>
        <x:v>0.008039181352807123</x:v>
      </x:c>
      <x:c r="U49" s="18" t="n">
        <x:f>IF(OR(H49="",H49-2+60&gt;1938),"",INDEX('黄金价格'!$E$3:$E$1940,H49-2+60))</x:f>
        <x:v>1916.42</x:v>
      </x:c>
      <x:c r="V49" s="25" t="n">
        <x:f>IF(U49="","",U49/J49-1)</x:f>
        <x:v>-0.013039850855418256</x:v>
      </x:c>
      <x:c r="W49" t="str">
        <x:f>IF(P49="","数据不足",IF(P49&gt;1%,"上涨",IF(P49&lt;-1%,"下跌","震荡")))</x:f>
        <x:v>震荡</x:v>
      </x:c>
      <x:c r="X49" t="str">
        <x:f>IF(T49="","数据不足",IF(T49&gt;1%,"上涨",IF(T49&lt;-1%,"下跌","震荡")))</x:f>
        <x:v>震荡</x:v>
      </x:c>
      <x:c r="Y49" t="str">
        <x:f>IF(OR(W49="数据不足",X49="数据不足"),"数据不足",IF(W49=X49,W49,IF(AND(P49&gt;0,T49&gt;0),"先弱后强",IF(AND(P49&lt;0,T49&lt;0),"先强后弱","方向反转"))))</x:f>
        <x:v>震荡</x:v>
      </x:c>
      <x:c r="Z49" t="str">
        <x:f>IF(H49="","无黄金数据",IF(V49="","窗口未满","完整"))</x:f>
        <x:v>完整</x:v>
      </x:c>
    </x:row>
    <x:row r="50">
      <x:c r="A50" t="n">
        <x:v>46</x:v>
      </x:c>
      <x:c r="B50" s="17" t="n">
        <x:v>45133</x:v>
      </x:c>
      <x:c r="C50" t="str">
        <x:v>例会</x:v>
      </x:c>
      <x:c r="D50" s="20" t="n">
        <x:v>0.0525</x:v>
      </x:c>
      <x:c r="E50" s="20" t="n">
        <x:v>0.055</x:v>
      </x:c>
      <x:c r="F50" s="24" t="n">
        <x:f>(E50-D50)*10000</x:f>
        <x:v>25.00000000000002</x:v>
      </x:c>
      <x:c r="G50" t="str">
        <x:f>IF(F50&gt;0,"加息",IF(F50&lt;0,"降息","暂停"))</x:f>
        <x:v>加息</x:v>
      </x:c>
      <x:c r="H50" t="n">
        <x:v>1459</x:v>
      </x:c>
      <x:c r="I50" s="17" t="n">
        <x:f>IF(H50="","",INDEX('黄金价格'!$A$3:$A$1940,H50-2))</x:f>
        <x:v>45133</x:v>
      </x:c>
      <x:c r="J50" s="18" t="n">
        <x:f>IF(H50="","",INDEX('黄金价格'!$E$3:$E$1940,H50-2))</x:f>
        <x:v>1972.27</x:v>
      </x:c>
      <x:c r="K50" s="18" t="n">
        <x:f>IF(OR(H50="",H50-2+1&gt;1938),"",INDEX('黄金价格'!$E$3:$E$1940,H50-2+1))</x:f>
        <x:v>1945.52</x:v>
      </x:c>
      <x:c r="L50" s="25" t="n">
        <x:f>IF(K50="","",K50/J50-1)</x:f>
        <x:v>-0.013563051711986684</x:v>
      </x:c>
      <x:c r="M50" s="18" t="n">
        <x:f>IF(OR(H50="",H50-2+3&gt;1938),"",INDEX('黄金价格'!$E$3:$E$1940,H50-2+3))</x:f>
        <x:v>1965.52</x:v>
      </x:c>
      <x:c r="N50" s="25" t="n">
        <x:f>IF(M50="","",M50/J50-1)</x:f>
        <x:v>-0.003422452301155565</x:v>
      </x:c>
      <x:c r="O50" s="18" t="n">
        <x:f>IF(OR(H50="",H50-2+5&gt;1938),"",INDEX('黄金价格'!$E$3:$E$1940,H50-2+5))</x:f>
        <x:v>1934.87</x:v>
      </x:c>
      <x:c r="P50" s="25" t="n">
        <x:f>IF(O50="","",O50/J50-1)</x:f>
        <x:v>-0.018962920898254354</x:v>
      </x:c>
      <x:c r="Q50" s="18" t="n">
        <x:f>IF(OR(H50="",H50-2+10&gt;1938),"",INDEX('黄金价格'!$E$3:$E$1940,H50-2+10))</x:f>
        <x:v>1914.7</x:v>
      </x:c>
      <x:c r="R50" s="25" t="n">
        <x:f>IF(Q50="","",Q50/J50-1)</x:f>
        <x:v>-0.029189715404077554</x:v>
      </x:c>
      <x:c r="S50" s="18" t="n">
        <x:f>IF(OR(H50="",H50-2+20&gt;1938),"",INDEX('黄金价格'!$E$3:$E$1940,H50-2+20))</x:f>
        <x:v>1915.38</x:v>
      </x:c>
      <x:c r="T50" s="25" t="n">
        <x:f>IF(S50="","",S50/J50-1)</x:f>
        <x:v>-0.02884493502410923</x:v>
      </x:c>
      <x:c r="U50" s="18" t="n">
        <x:f>IF(OR(H50="",H50-2+60&gt;1938),"",INDEX('黄金价格'!$E$3:$E$1940,H50-2+60))</x:f>
        <x:v>1947.62</x:v>
      </x:c>
      <x:c r="V50" s="25" t="n">
        <x:f>IF(U50="","",U50/J50-1)</x:f>
        <x:v>-0.012498288773849509</x:v>
      </x:c>
      <x:c r="W50" t="str">
        <x:f>IF(P50="","数据不足",IF(P50&gt;1%,"上涨",IF(P50&lt;-1%,"下跌","震荡")))</x:f>
        <x:v>下跌</x:v>
      </x:c>
      <x:c r="X50" t="str">
        <x:f>IF(T50="","数据不足",IF(T50&gt;1%,"上涨",IF(T50&lt;-1%,"下跌","震荡")))</x:f>
        <x:v>下跌</x:v>
      </x:c>
      <x:c r="Y50" t="str">
        <x:f>IF(OR(W50="数据不足",X50="数据不足"),"数据不足",IF(W50=X50,W50,IF(AND(P50&gt;0,T50&gt;0),"先弱后强",IF(AND(P50&lt;0,T50&lt;0),"先强后弱","方向反转"))))</x:f>
        <x:v>下跌</x:v>
      </x:c>
      <x:c r="Z50" t="str">
        <x:f>IF(H50="","无黄金数据",IF(V50="","窗口未满","完整"))</x:f>
        <x:v>完整</x:v>
      </x:c>
    </x:row>
    <x:row r="51">
      <x:c r="A51" t="n">
        <x:v>47</x:v>
      </x:c>
      <x:c r="B51" s="17" t="n">
        <x:v>45189</x:v>
      </x:c>
      <x:c r="C51" t="str">
        <x:v>例会</x:v>
      </x:c>
      <x:c r="D51" s="20" t="n">
        <x:v>0.055</x:v>
      </x:c>
      <x:c r="E51" s="20" t="n">
        <x:v>0.055</x:v>
      </x:c>
      <x:c r="F51" s="24" t="n">
        <x:f>(E51-D51)*10000</x:f>
        <x:v>0</x:v>
      </x:c>
      <x:c r="G51" t="str">
        <x:f>IF(F51&gt;0,"加息",IF(F51&lt;0,"降息","暂停"))</x:f>
        <x:v>暂停</x:v>
      </x:c>
      <x:c r="H51" t="n">
        <x:v>1499</x:v>
      </x:c>
      <x:c r="I51" s="17" t="n">
        <x:f>IF(H51="","",INDEX('黄金价格'!$A$3:$A$1940,H51-2))</x:f>
        <x:v>45189</x:v>
      </x:c>
      <x:c r="J51" s="18" t="n">
        <x:f>IF(H51="","",INDEX('黄金价格'!$E$3:$E$1940,H51-2))</x:f>
        <x:v>1930.36</x:v>
      </x:c>
      <x:c r="K51" s="18" t="n">
        <x:f>IF(OR(H51="",H51-2+1&gt;1938),"",INDEX('黄金价格'!$E$3:$E$1940,H51-2+1))</x:f>
        <x:v>1919.94</x:v>
      </x:c>
      <x:c r="L51" s="25" t="n">
        <x:f>IF(K51="","",K51/J51-1)</x:f>
        <x:v>-0.0053979568577881</x:v>
      </x:c>
      <x:c r="M51" s="18" t="n">
        <x:f>IF(OR(H51="",H51-2+3&gt;1938),"",INDEX('黄金价格'!$E$3:$E$1940,H51-2+3))</x:f>
        <x:v>1915.78</x:v>
      </x:c>
      <x:c r="N51" s="25" t="n">
        <x:f>IF(M51="","",M51/J51-1)</x:f>
        <x:v>-0.007552995296214116</x:v>
      </x:c>
      <x:c r="O51" s="18" t="n">
        <x:f>IF(OR(H51="",H51-2+5&gt;1938),"",INDEX('黄金价格'!$E$3:$E$1940,H51-2+5))</x:f>
        <x:v>1874.99</x:v>
      </x:c>
      <x:c r="P51" s="25" t="n">
        <x:f>IF(O51="","",O51/J51-1)</x:f>
        <x:v>-0.028683768830684353</x:v>
      </x:c>
      <x:c r="Q51" s="18" t="n">
        <x:f>IF(OR(H51="",H51-2+10&gt;1938),"",INDEX('黄金价格'!$E$3:$E$1940,H51-2+10))</x:f>
        <x:v>1821.1</x:v>
      </x:c>
      <x:c r="R51" s="25" t="n">
        <x:f>IF(Q51="","",Q51/J51-1)</x:f>
        <x:v>-0.0566008412938519</x:v>
      </x:c>
      <x:c r="S51" s="18" t="n">
        <x:f>IF(OR(H51="",H51-2+20&gt;1938),"",INDEX('黄金价格'!$E$3:$E$1940,H51-2+20))</x:f>
        <x:v>1947.62</x:v>
      </x:c>
      <x:c r="T51" s="25" t="n">
        <x:f>IF(S51="","",S51/J51-1)</x:f>
        <x:v>0.008941337367123214</x:v>
      </x:c>
      <x:c r="U51" s="18" t="n">
        <x:f>IF(OR(H51="",H51-2+60&gt;1938),"",INDEX('黄金价格'!$E$3:$E$1940,H51-2+60))</x:f>
        <x:v>2027.23</x:v>
      </x:c>
      <x:c r="V51" s="25" t="n">
        <x:f>IF(U51="","",U51/J51-1)</x:f>
        <x:v>0.050182349406328486</x:v>
      </x:c>
      <x:c r="W51" t="str">
        <x:f>IF(P51="","数据不足",IF(P51&gt;1%,"上涨",IF(P51&lt;-1%,"下跌","震荡")))</x:f>
        <x:v>下跌</x:v>
      </x:c>
      <x:c r="X51" t="str">
        <x:f>IF(T51="","数据不足",IF(T51&gt;1%,"上涨",IF(T51&lt;-1%,"下跌","震荡")))</x:f>
        <x:v>震荡</x:v>
      </x:c>
      <x:c r="Y51" t="str">
        <x:f>IF(OR(W51="数据不足",X51="数据不足"),"数据不足",IF(W51=X51,W51,IF(AND(P51&gt;0,T51&gt;0),"先弱后强",IF(AND(P51&lt;0,T51&lt;0),"先强后弱","方向反转"))))</x:f>
        <x:v>方向反转</x:v>
      </x:c>
      <x:c r="Z51" t="str">
        <x:f>IF(H51="","无黄金数据",IF(V51="","窗口未满","完整"))</x:f>
        <x:v>完整</x:v>
      </x:c>
    </x:row>
    <x:row r="52">
      <x:c r="A52" t="n">
        <x:v>48</x:v>
      </x:c>
      <x:c r="B52" s="17" t="n">
        <x:v>45231</x:v>
      </x:c>
      <x:c r="C52" t="str">
        <x:v>例会</x:v>
      </x:c>
      <x:c r="D52" s="20" t="n">
        <x:v>0.055</x:v>
      </x:c>
      <x:c r="E52" s="20" t="n">
        <x:v>0.055</x:v>
      </x:c>
      <x:c r="F52" s="24" t="n">
        <x:f>(E52-D52)*10000</x:f>
        <x:v>0</x:v>
      </x:c>
      <x:c r="G52" t="str">
        <x:f>IF(F52&gt;0,"加息",IF(F52&lt;0,"降息","暂停"))</x:f>
        <x:v>暂停</x:v>
      </x:c>
      <x:c r="H52" t="n">
        <x:v>1529</x:v>
      </x:c>
      <x:c r="I52" s="17" t="n">
        <x:f>IF(H52="","",INDEX('黄金价格'!$A$3:$A$1940,H52-2))</x:f>
        <x:v>45231</x:v>
      </x:c>
      <x:c r="J52" s="18" t="n">
        <x:f>IF(H52="","",INDEX('黄金价格'!$E$3:$E$1940,H52-2))</x:f>
        <x:v>1982.67</x:v>
      </x:c>
      <x:c r="K52" s="18" t="n">
        <x:f>IF(OR(H52="",H52-2+1&gt;1938),"",INDEX('黄金价格'!$E$3:$E$1940,H52-2+1))</x:f>
        <x:v>1985.77</x:v>
      </x:c>
      <x:c r="L52" s="25" t="n">
        <x:f>IF(K52="","",K52/J52-1)</x:f>
        <x:v>0.0015635481446736321</x:v>
      </x:c>
      <x:c r="M52" s="18" t="n">
        <x:f>IF(OR(H52="",H52-2+3&gt;1938),"",INDEX('黄金价格'!$E$3:$E$1940,H52-2+3))</x:f>
        <x:v>1977.82</x:v>
      </x:c>
      <x:c r="N52" s="25" t="n">
        <x:f>IF(M52="","",M52/J52-1)</x:f>
        <x:v>-0.002446196290860403</x:v>
      </x:c>
      <x:c r="O52" s="18" t="n">
        <x:f>IF(OR(H52="",H52-2+5&gt;1938),"",INDEX('黄金价格'!$E$3:$E$1940,H52-2+5))</x:f>
        <x:v>1950.2</x:v>
      </x:c>
      <x:c r="P52" s="25" t="n">
        <x:f>IF(O52="","",O52/J52-1)</x:f>
        <x:v>-0.016376905889532778</x:v>
      </x:c>
      <x:c r="Q52" s="18" t="n">
        <x:f>IF(OR(H52="",H52-2+10&gt;1938),"",INDEX('黄金价格'!$E$3:$E$1940,H52-2+10))</x:f>
        <x:v>1959.19</x:v>
      </x:c>
      <x:c r="R52" s="25" t="n">
        <x:f>IF(Q52="","",Q52/J52-1)</x:f>
        <x:v>-0.0118426162699794</x:v>
      </x:c>
      <x:c r="S52" s="18" t="n">
        <x:f>IF(OR(H52="",H52-2+20&gt;1938),"",INDEX('黄金价格'!$E$3:$E$1940,H52-2+20))</x:f>
        <x:v>2044.12</x:v>
      </x:c>
      <x:c r="T52" s="25" t="n">
        <x:f>IF(S52="","",S52/J52-1)</x:f>
        <x:v>0.03099355919038449</x:v>
      </x:c>
      <x:c r="U52" s="18" t="n">
        <x:f>IF(OR(H52="",H52-2+60&gt;1938),"",INDEX('黄金价格'!$E$3:$E$1940,H52-2+60))</x:f>
        <x:v>2018.49</x:v>
      </x:c>
      <x:c r="V52" s="25" t="n">
        <x:f>IF(U52="","",U52/J52-1)</x:f>
        <x:v>0.018066546626518853</x:v>
      </x:c>
      <x:c r="W52" t="str">
        <x:f>IF(P52="","数据不足",IF(P52&gt;1%,"上涨",IF(P52&lt;-1%,"下跌","震荡")))</x:f>
        <x:v>下跌</x:v>
      </x:c>
      <x:c r="X52" t="str">
        <x:f>IF(T52="","数据不足",IF(T52&gt;1%,"上涨",IF(T52&lt;-1%,"下跌","震荡")))</x:f>
        <x:v>上涨</x:v>
      </x:c>
      <x:c r="Y52" t="str">
        <x:f>IF(OR(W52="数据不足",X52="数据不足"),"数据不足",IF(W52=X52,W52,IF(AND(P52&gt;0,T52&gt;0),"先弱后强",IF(AND(P52&lt;0,T52&lt;0),"先强后弱","方向反转"))))</x:f>
        <x:v>方向反转</x:v>
      </x:c>
      <x:c r="Z52" t="str">
        <x:f>IF(H52="","无黄金数据",IF(V52="","窗口未满","完整"))</x:f>
        <x:v>完整</x:v>
      </x:c>
    </x:row>
    <x:row r="53">
      <x:c r="A53" t="n">
        <x:v>49</x:v>
      </x:c>
      <x:c r="B53" s="17" t="n">
        <x:v>45273</x:v>
      </x:c>
      <x:c r="C53" t="str">
        <x:v>例会</x:v>
      </x:c>
      <x:c r="D53" s="20" t="n">
        <x:v>0.055</x:v>
      </x:c>
      <x:c r="E53" s="20" t="n">
        <x:v>0.055</x:v>
      </x:c>
      <x:c r="F53" s="24" t="n">
        <x:f>(E53-D53)*10000</x:f>
        <x:v>0</x:v>
      </x:c>
      <x:c r="G53" t="str">
        <x:f>IF(F53&gt;0,"加息",IF(F53&lt;0,"降息","暂停"))</x:f>
        <x:v>暂停</x:v>
      </x:c>
      <x:c r="H53" t="n">
        <x:v>1559</x:v>
      </x:c>
      <x:c r="I53" s="17" t="n">
        <x:f>IF(H53="","",INDEX('黄金价格'!$A$3:$A$1940,H53-2))</x:f>
        <x:v>45273</x:v>
      </x:c>
      <x:c r="J53" s="18" t="n">
        <x:f>IF(H53="","",INDEX('黄金价格'!$E$3:$E$1940,H53-2))</x:f>
        <x:v>2027.23</x:v>
      </x:c>
      <x:c r="K53" s="18" t="n">
        <x:f>IF(OR(H53="",H53-2+1&gt;1938),"",INDEX('黄金价格'!$E$3:$E$1940,H53-2+1))</x:f>
        <x:v>2036.2</x:v>
      </x:c>
      <x:c r="L53" s="25" t="n">
        <x:f>IF(K53="","",K53/J53-1)</x:f>
        <x:v>0.004424756934338969</x:v>
      </x:c>
      <x:c r="M53" s="18" t="n">
        <x:f>IF(OR(H53="",H53-2+3&gt;1938),"",INDEX('黄金价格'!$E$3:$E$1940,H53-2+3))</x:f>
        <x:v>2027.21</x:v>
      </x:c>
      <x:c r="N53" s="25" t="n">
        <x:f>IF(M53="","",M53/J53-1)</x:f>
        <x:v>-0.000009865678783360643</x:v>
      </x:c>
      <x:c r="O53" s="18" t="n">
        <x:f>IF(OR(H53="",H53-2+5&gt;1938),"",INDEX('黄金价格'!$E$3:$E$1940,H53-2+5))</x:f>
        <x:v>2031.31</x:v>
      </x:c>
      <x:c r="P53" s="25" t="n">
        <x:f>IF(O53="","",O53/J53-1)</x:f>
        <x:v>0.0020125984718062373</x:v>
      </x:c>
      <x:c r="Q53" s="18" t="n">
        <x:f>IF(OR(H53="",H53-2+10&gt;1938),"",INDEX('黄金价格'!$E$3:$E$1940,H53-2+10))</x:f>
        <x:v>2065.25</x:v>
      </x:c>
      <x:c r="R53" s="25" t="n">
        <x:f>IF(Q53="","",Q53/J53-1)</x:f>
        <x:v>0.0187546553671758</x:v>
      </x:c>
      <x:c r="S53" s="18" t="n">
        <x:f>IF(OR(H53="",H53-2+20&gt;1938),"",INDEX('黄金价格'!$E$3:$E$1940,H53-2+20))</x:f>
        <x:v>2048.81</x:v>
      </x:c>
      <x:c r="T53" s="25" t="n">
        <x:f>IF(S53="","",S53/J53-1)</x:f>
        <x:v>0.010645067407250242</x:v>
      </x:c>
      <x:c r="U53" s="18" t="n">
        <x:f>IF(OR(H53="",H53-2+60&gt;1938),"",INDEX('黄金价格'!$E$3:$E$1940,H53-2+60))</x:f>
        <x:v>2178.55</x:v>
      </x:c>
      <x:c r="V53" s="25" t="n">
        <x:f>IF(U53="","",U53/J53-1)</x:f>
        <x:v>0.07464372567493593</x:v>
      </x:c>
      <x:c r="W53" t="str">
        <x:f>IF(P53="","数据不足",IF(P53&gt;1%,"上涨",IF(P53&lt;-1%,"下跌","震荡")))</x:f>
        <x:v>震荡</x:v>
      </x:c>
      <x:c r="X53" t="str">
        <x:f>IF(T53="","数据不足",IF(T53&gt;1%,"上涨",IF(T53&lt;-1%,"下跌","震荡")))</x:f>
        <x:v>上涨</x:v>
      </x:c>
      <x:c r="Y53" t="str">
        <x:f>IF(OR(W53="数据不足",X53="数据不足"),"数据不足",IF(W53=X53,W53,IF(AND(P53&gt;0,T53&gt;0),"先弱后强",IF(AND(P53&lt;0,T53&lt;0),"先强后弱","方向反转"))))</x:f>
        <x:v>先弱后强</x:v>
      </x:c>
      <x:c r="Z53" t="str">
        <x:f>IF(H53="","无黄金数据",IF(V53="","窗口未满","完整"))</x:f>
        <x:v>完整</x:v>
      </x:c>
    </x:row>
    <x:row r="54">
      <x:c r="A54" t="n">
        <x:v>50</x:v>
      </x:c>
      <x:c r="B54" s="17" t="n">
        <x:v>45322</x:v>
      </x:c>
      <x:c r="C54" t="str">
        <x:v>例会</x:v>
      </x:c>
      <x:c r="D54" s="20" t="n">
        <x:v>0.055</x:v>
      </x:c>
      <x:c r="E54" s="20" t="n">
        <x:v>0.055</x:v>
      </x:c>
      <x:c r="F54" s="24" t="n">
        <x:f>(E54-D54)*10000</x:f>
        <x:v>0</x:v>
      </x:c>
      <x:c r="G54" t="str">
        <x:f>IF(F54&gt;0,"加息",IF(F54&lt;0,"降息","暂停"))</x:f>
        <x:v>暂停</x:v>
      </x:c>
      <x:c r="H54" t="n">
        <x:v>1592</x:v>
      </x:c>
      <x:c r="I54" s="17" t="n">
        <x:f>IF(H54="","",INDEX('黄金价格'!$A$3:$A$1940,H54-2))</x:f>
        <x:v>45322</x:v>
      </x:c>
      <x:c r="J54" s="18" t="n">
        <x:f>IF(H54="","",INDEX('黄金价格'!$E$3:$E$1940,H54-2))</x:f>
        <x:v>2039.2</x:v>
      </x:c>
      <x:c r="K54" s="18" t="n">
        <x:f>IF(OR(H54="",H54-2+1&gt;1938),"",INDEX('黄金价格'!$E$3:$E$1940,H54-2+1))</x:f>
        <x:v>2054.98</x:v>
      </x:c>
      <x:c r="L54" s="25" t="n">
        <x:f>IF(K54="","",K54/J54-1)</x:f>
        <x:v>0.007738328756375035</x:v>
      </x:c>
      <x:c r="M54" s="18" t="n">
        <x:f>IF(OR(H54="",H54-2+3&gt;1938),"",INDEX('黄金价格'!$E$3:$E$1940,H54-2+3))</x:f>
        <x:v>2025.03</x:v>
      </x:c>
      <x:c r="N54" s="25" t="n">
        <x:f>IF(M54="","",M54/J54-1)</x:f>
        <x:v>-0.0069488034523342845</x:v>
      </x:c>
      <x:c r="O54" s="18" t="n">
        <x:f>IF(OR(H54="",H54-2+5&gt;1938),"",INDEX('黄金价格'!$E$3:$E$1940,H54-2+5))</x:f>
        <x:v>2035</x:v>
      </x:c>
      <x:c r="P54" s="25" t="n">
        <x:f>IF(O54="","",O54/J54-1)</x:f>
        <x:v>-0.0020596312279325124</x:v>
      </x:c>
      <x:c r="Q54" s="18" t="n">
        <x:f>IF(OR(H54="",H54-2+10&gt;1938),"",INDEX('黄金价格'!$E$3:$E$1940,H54-2+10))</x:f>
        <x:v>1992.1</x:v>
      </x:c>
      <x:c r="R54" s="25" t="n">
        <x:f>IF(Q54="","",Q54/J54-1)</x:f>
        <x:v>-0.023097293056100532</x:v>
      </x:c>
      <x:c r="S54" s="18" t="n">
        <x:f>IF(OR(H54="",H54-2+20&gt;1938),"",INDEX('黄金价格'!$E$3:$E$1940,H54-2+20))</x:f>
        <x:v>2034.37</x:v>
      </x:c>
      <x:c r="T54" s="25" t="n">
        <x:f>IF(S54="","",S54/J54-1)</x:f>
        <x:v>-0.0023685759121224725</x:v>
      </x:c>
      <x:c r="U54" s="18" t="n">
        <x:f>IF(OR(H54="",H54-2+60&gt;1938),"",INDEX('黄金价格'!$E$3:$E$1940,H54-2+60))</x:f>
        <x:v>2332.37</x:v>
      </x:c>
      <x:c r="V54" s="25" t="n">
        <x:f>IF(U54="","",U54/J54-1)</x:f>
        <x:v>0.143767163593566</x:v>
      </x:c>
      <x:c r="W54" t="str">
        <x:f>IF(P54="","数据不足",IF(P54&gt;1%,"上涨",IF(P54&lt;-1%,"下跌","震荡")))</x:f>
        <x:v>震荡</x:v>
      </x:c>
      <x:c r="X54" t="str">
        <x:f>IF(T54="","数据不足",IF(T54&gt;1%,"上涨",IF(T54&lt;-1%,"下跌","震荡")))</x:f>
        <x:v>震荡</x:v>
      </x:c>
      <x:c r="Y54" t="str">
        <x:f>IF(OR(W54="数据不足",X54="数据不足"),"数据不足",IF(W54=X54,W54,IF(AND(P54&gt;0,T54&gt;0),"先弱后强",IF(AND(P54&lt;0,T54&lt;0),"先强后弱","方向反转"))))</x:f>
        <x:v>震荡</x:v>
      </x:c>
      <x:c r="Z54" t="str">
        <x:f>IF(H54="","无黄金数据",IF(V54="","窗口未满","完整"))</x:f>
        <x:v>完整</x:v>
      </x:c>
    </x:row>
    <x:row r="55">
      <x:c r="A55" t="n">
        <x:v>51</x:v>
      </x:c>
      <x:c r="B55" s="17" t="n">
        <x:v>45371</x:v>
      </x:c>
      <x:c r="C55" t="str">
        <x:v>例会</x:v>
      </x:c>
      <x:c r="D55" s="20" t="n">
        <x:v>0.055</x:v>
      </x:c>
      <x:c r="E55" s="20" t="n">
        <x:v>0.055</x:v>
      </x:c>
      <x:c r="F55" s="24" t="n">
        <x:f>(E55-D55)*10000</x:f>
        <x:v>0</x:v>
      </x:c>
      <x:c r="G55" t="str">
        <x:f>IF(F55&gt;0,"加息",IF(F55&lt;0,"降息","暂停"))</x:f>
        <x:v>暂停</x:v>
      </x:c>
      <x:c r="H55" t="n">
        <x:v>1627</x:v>
      </x:c>
      <x:c r="I55" s="17" t="n">
        <x:f>IF(H55="","",INDEX('黄金价格'!$A$3:$A$1940,H55-2))</x:f>
        <x:v>45371</x:v>
      </x:c>
      <x:c r="J55" s="18" t="n">
        <x:f>IF(H55="","",INDEX('黄金价格'!$E$3:$E$1940,H55-2))</x:f>
        <x:v>2186.24</x:v>
      </x:c>
      <x:c r="K55" s="18" t="n">
        <x:f>IF(OR(H55="",H55-2+1&gt;1938),"",INDEX('黄金价格'!$E$3:$E$1940,H55-2+1))</x:f>
        <x:v>2181.25</x:v>
      </x:c>
      <x:c r="L55" s="25" t="n">
        <x:f>IF(K55="","",K55/J55-1)</x:f>
        <x:v>-0.0022824575526930735</x:v>
      </x:c>
      <x:c r="M55" s="18" t="n">
        <x:f>IF(OR(H55="",H55-2+3&gt;1938),"",INDEX('黄金价格'!$E$3:$E$1940,H55-2+3))</x:f>
        <x:v>2171.73</x:v>
      </x:c>
      <x:c r="N55" s="25" t="n">
        <x:f>IF(M55="","",M55/J55-1)</x:f>
        <x:v>-0.006636965749414414</x:v>
      </x:c>
      <x:c r="O55" s="18" t="n">
        <x:f>IF(OR(H55="",H55-2+5&gt;1938),"",INDEX('黄金价格'!$E$3:$E$1940,H55-2+5))</x:f>
        <x:v>2194.88</x:v>
      </x:c>
      <x:c r="P55" s="25" t="n">
        <x:f>IF(O55="","",O55/J55-1)</x:f>
        <x:v>0.003951990632318658</x:v>
      </x:c>
      <x:c r="Q55" s="18" t="n">
        <x:f>IF(OR(H55="",H55-2+10&gt;1938),"",INDEX('黄金价格'!$E$3:$E$1940,H55-2+10))</x:f>
        <x:v>2290.95</x:v>
      </x:c>
      <x:c r="R55" s="25" t="n">
        <x:f>IF(Q55="","",Q55/J55-1)</x:f>
        <x:v>0.04789501610070257</x:v>
      </x:c>
      <x:c r="S55" s="18" t="n">
        <x:f>IF(OR(H55="",H55-2+20&gt;1938),"",INDEX('黄金价格'!$E$3:$E$1940,H55-2+20))</x:f>
        <x:v>2378.86</x:v>
      </x:c>
      <x:c r="T55" s="25" t="n">
        <x:f>IF(S55="","",S55/J55-1)</x:f>
        <x:v>0.0881056059718972</x:v>
      </x:c>
      <x:c r="U55" s="18" t="n">
        <x:f>IF(OR(H55="",H55-2+60&gt;1938),"",INDEX('黄金价格'!$E$3:$E$1940,H55-2+60))</x:f>
        <x:v>2303.85</x:v>
      </x:c>
      <x:c r="V55" s="25" t="n">
        <x:f>IF(U55="","",U55/J55-1)</x:f>
        <x:v>0.05379555766978927</x:v>
      </x:c>
      <x:c r="W55" t="str">
        <x:f>IF(P55="","数据不足",IF(P55&gt;1%,"上涨",IF(P55&lt;-1%,"下跌","震荡")))</x:f>
        <x:v>震荡</x:v>
      </x:c>
      <x:c r="X55" t="str">
        <x:f>IF(T55="","数据不足",IF(T55&gt;1%,"上涨",IF(T55&lt;-1%,"下跌","震荡")))</x:f>
        <x:v>上涨</x:v>
      </x:c>
      <x:c r="Y55" t="str">
        <x:f>IF(OR(W55="数据不足",X55="数据不足"),"数据不足",IF(W55=X55,W55,IF(AND(P55&gt;0,T55&gt;0),"先弱后强",IF(AND(P55&lt;0,T55&lt;0),"先强后弱","方向反转"))))</x:f>
        <x:v>先弱后强</x:v>
      </x:c>
      <x:c r="Z55" t="str">
        <x:f>IF(H55="","无黄金数据",IF(V55="","窗口未满","完整"))</x:f>
        <x:v>完整</x:v>
      </x:c>
    </x:row>
    <x:row r="56">
      <x:c r="A56" t="n">
        <x:v>52</x:v>
      </x:c>
      <x:c r="B56" s="17" t="n">
        <x:v>45413</x:v>
      </x:c>
      <x:c r="C56" t="str">
        <x:v>例会</x:v>
      </x:c>
      <x:c r="D56" s="20" t="n">
        <x:v>0.055</x:v>
      </x:c>
      <x:c r="E56" s="20" t="n">
        <x:v>0.055</x:v>
      </x:c>
      <x:c r="F56" s="24" t="n">
        <x:f>(E56-D56)*10000</x:f>
        <x:v>0</x:v>
      </x:c>
      <x:c r="G56" t="str">
        <x:f>IF(F56&gt;0,"加息",IF(F56&lt;0,"降息","暂停"))</x:f>
        <x:v>暂停</x:v>
      </x:c>
      <x:c r="H56" t="n">
        <x:v>1656</x:v>
      </x:c>
      <x:c r="I56" s="17" t="n">
        <x:f>IF(H56="","",INDEX('黄金价格'!$A$3:$A$1940,H56-2))</x:f>
        <x:v>45413</x:v>
      </x:c>
      <x:c r="J56" s="18" t="n">
        <x:f>IF(H56="","",INDEX('黄金价格'!$E$3:$E$1940,H56-2))</x:f>
        <x:v>2319.48</x:v>
      </x:c>
      <x:c r="K56" s="18" t="n">
        <x:f>IF(OR(H56="",H56-2+1&gt;1938),"",INDEX('黄金价格'!$E$3:$E$1940,H56-2+1))</x:f>
        <x:v>2303.51</x:v>
      </x:c>
      <x:c r="L56" s="25" t="n">
        <x:f>IF(K56="","",K56/J56-1)</x:f>
        <x:v>-0.006885163916050097</x:v>
      </x:c>
      <x:c r="M56" s="18" t="n">
        <x:f>IF(OR(H56="",H56-2+3&gt;1938),"",INDEX('黄金价格'!$E$3:$E$1940,H56-2+3))</x:f>
        <x:v>2323.76</x:v>
      </x:c>
      <x:c r="N56" s="25" t="n">
        <x:f>IF(M56="","",M56/J56-1)</x:f>
        <x:v>0.0018452411747460484</x:v>
      </x:c>
      <x:c r="O56" s="18" t="n">
        <x:f>IF(OR(H56="",H56-2+5&gt;1938),"",INDEX('黄金价格'!$E$3:$E$1940,H56-2+5))</x:f>
        <x:v>2308.83</x:v>
      </x:c>
      <x:c r="P56" s="25" t="n">
        <x:f>IF(O56="","",O56/J56-1)</x:f>
        <x:v>-0.004591546381085498</x:v>
      </x:c>
      <x:c r="Q56" s="18" t="n">
        <x:f>IF(OR(H56="",H56-2+10&gt;1938),"",INDEX('黄金价格'!$E$3:$E$1940,H56-2+10))</x:f>
        <x:v>2385.76</x:v>
      </x:c>
      <x:c r="R56" s="25" t="n">
        <x:f>IF(Q56="","",Q56/J56-1)</x:f>
        <x:v>0.028575370341628492</x:v>
      </x:c>
      <x:c r="S56" s="18" t="n">
        <x:f>IF(OR(H56="",H56-2+20&gt;1938),"",INDEX('黄金价格'!$E$3:$E$1940,H56-2+20))</x:f>
        <x:v>2338</x:v>
      </x:c>
      <x:c r="T56" s="25" t="n">
        <x:f>IF(S56="","",S56/J56-1)</x:f>
        <x:v>0.007984548260817181</x:v>
      </x:c>
      <x:c r="U56" s="18" t="n">
        <x:f>IF(OR(H56="",H56-2+60&gt;1938),"",INDEX('黄金价格'!$E$3:$E$1940,H56-2+60))</x:f>
        <x:v>2397.23</x:v>
      </x:c>
      <x:c r="V56" s="25" t="n">
        <x:f>IF(U56="","",U56/J56-1)</x:f>
        <x:v>0.033520444237501446</x:v>
      </x:c>
      <x:c r="W56" t="str">
        <x:f>IF(P56="","数据不足",IF(P56&gt;1%,"上涨",IF(P56&lt;-1%,"下跌","震荡")))</x:f>
        <x:v>震荡</x:v>
      </x:c>
      <x:c r="X56" t="str">
        <x:f>IF(T56="","数据不足",IF(T56&gt;1%,"上涨",IF(T56&lt;-1%,"下跌","震荡")))</x:f>
        <x:v>震荡</x:v>
      </x:c>
      <x:c r="Y56" t="str">
        <x:f>IF(OR(W56="数据不足",X56="数据不足"),"数据不足",IF(W56=X56,W56,IF(AND(P56&gt;0,T56&gt;0),"先弱后强",IF(AND(P56&lt;0,T56&lt;0),"先强后弱","方向反转"))))</x:f>
        <x:v>震荡</x:v>
      </x:c>
      <x:c r="Z56" t="str">
        <x:f>IF(H56="","无黄金数据",IF(V56="","窗口未满","完整"))</x:f>
        <x:v>完整</x:v>
      </x:c>
    </x:row>
    <x:row r="57">
      <x:c r="A57" t="n">
        <x:v>53</x:v>
      </x:c>
      <x:c r="B57" s="17" t="n">
        <x:v>45455</x:v>
      </x:c>
      <x:c r="C57" t="str">
        <x:v>例会</x:v>
      </x:c>
      <x:c r="D57" s="20" t="n">
        <x:v>0.055</x:v>
      </x:c>
      <x:c r="E57" s="20" t="n">
        <x:v>0.055</x:v>
      </x:c>
      <x:c r="F57" s="24" t="n">
        <x:f>(E57-D57)*10000</x:f>
        <x:v>0</x:v>
      </x:c>
      <x:c r="G57" t="str">
        <x:f>IF(F57&gt;0,"加息",IF(F57&lt;0,"降息","暂停"))</x:f>
        <x:v>暂停</x:v>
      </x:c>
      <x:c r="H57" t="n">
        <x:v>1686</x:v>
      </x:c>
      <x:c r="I57" s="17" t="n">
        <x:f>IF(H57="","",INDEX('黄金价格'!$A$3:$A$1940,H57-2))</x:f>
        <x:v>45455</x:v>
      </x:c>
      <x:c r="J57" s="18" t="n">
        <x:f>IF(H57="","",INDEX('黄金价格'!$E$3:$E$1940,H57-2))</x:f>
        <x:v>2324.88</x:v>
      </x:c>
      <x:c r="K57" s="18" t="n">
        <x:f>IF(OR(H57="",H57-2+1&gt;1938),"",INDEX('黄金价格'!$E$3:$E$1940,H57-2+1))</x:f>
        <x:v>2303.85</x:v>
      </x:c>
      <x:c r="L57" s="25" t="n">
        <x:f>IF(K57="","",K57/J57-1)</x:f>
        <x:v>-0.0090456281614536</x:v>
      </x:c>
      <x:c r="M57" s="18" t="n">
        <x:f>IF(OR(H57="",H57-2+3&gt;1938),"",INDEX('黄金价格'!$E$3:$E$1940,H57-2+3))</x:f>
        <x:v>2318.96</x:v>
      </x:c>
      <x:c r="N57" s="25" t="n">
        <x:f>IF(M57="","",M57/J57-1)</x:f>
        <x:v>-0.002546367984584186</x:v>
      </x:c>
      <x:c r="O57" s="18" t="n">
        <x:f>IF(OR(H57="",H57-2+5&gt;1938),"",INDEX('黄金价格'!$E$3:$E$1940,H57-2+5))</x:f>
        <x:v>2327.98</x:v>
      </x:c>
      <x:c r="P57" s="25" t="n">
        <x:f>IF(O57="","",O57/J57-1)</x:f>
        <x:v>0.0013334021540896135</x:v>
      </x:c>
      <x:c r="Q57" s="18" t="n">
        <x:f>IF(OR(H57="",H57-2+10&gt;1938),"",INDEX('黄金价格'!$E$3:$E$1940,H57-2+10))</x:f>
        <x:v>2298.06</x:v>
      </x:c>
      <x:c r="R57" s="25" t="n">
        <x:f>IF(Q57="","",Q57/J57-1)</x:f>
        <x:v>-0.011536079281511347</x:v>
      </x:c>
      <x:c r="S57" s="18" t="n">
        <x:f>IF(OR(H57="",H57-2+20&gt;1938),"",INDEX('黄金价格'!$E$3:$E$1940,H57-2+20))</x:f>
        <x:v>2371.26</x:v>
      </x:c>
      <x:c r="T57" s="25" t="n">
        <x:f>IF(S57="","",S57/J57-1)</x:f>
        <x:v>0.01994941674409012</x:v>
      </x:c>
      <x:c r="U57" s="18" t="n">
        <x:f>IF(OR(H57="",H57-2+60&gt;1938),"",INDEX('黄金价格'!$E$3:$E$1940,H57-2+60))</x:f>
        <x:v>2495.44</x:v>
      </x:c>
      <x:c r="V57" s="25" t="n">
        <x:f>IF(U57="","",U57/J57-1)</x:f>
        <x:v>0.07336292625855956</x:v>
      </x:c>
      <x:c r="W57" t="str">
        <x:f>IF(P57="","数据不足",IF(P57&gt;1%,"上涨",IF(P57&lt;-1%,"下跌","震荡")))</x:f>
        <x:v>震荡</x:v>
      </x:c>
      <x:c r="X57" t="str">
        <x:f>IF(T57="","数据不足",IF(T57&gt;1%,"上涨",IF(T57&lt;-1%,"下跌","震荡")))</x:f>
        <x:v>上涨</x:v>
      </x:c>
      <x:c r="Y57" t="str">
        <x:f>IF(OR(W57="数据不足",X57="数据不足"),"数据不足",IF(W57=X57,W57,IF(AND(P57&gt;0,T57&gt;0),"先弱后强",IF(AND(P57&lt;0,T57&lt;0),"先强后弱","方向反转"))))</x:f>
        <x:v>先弱后强</x:v>
      </x:c>
      <x:c r="Z57" t="str">
        <x:f>IF(H57="","无黄金数据",IF(V57="","窗口未满","完整"))</x:f>
        <x:v>完整</x:v>
      </x:c>
    </x:row>
    <x:row r="58">
      <x:c r="A58" t="n">
        <x:v>54</x:v>
      </x:c>
      <x:c r="B58" s="17" t="n">
        <x:v>45504</x:v>
      </x:c>
      <x:c r="C58" t="str">
        <x:v>例会</x:v>
      </x:c>
      <x:c r="D58" s="20" t="n">
        <x:v>0.055</x:v>
      </x:c>
      <x:c r="E58" s="20" t="n">
        <x:v>0.055</x:v>
      </x:c>
      <x:c r="F58" s="24" t="n">
        <x:f>(E58-D58)*10000</x:f>
        <x:v>0</x:v>
      </x:c>
      <x:c r="G58" t="str">
        <x:f>IF(F58&gt;0,"加息",IF(F58&lt;0,"降息","暂停"))</x:f>
        <x:v>暂停</x:v>
      </x:c>
      <x:c r="H58" t="n">
        <x:v>1721</x:v>
      </x:c>
      <x:c r="I58" s="17" t="n">
        <x:f>IF(H58="","",INDEX('黄金价格'!$A$3:$A$1940,H58-2))</x:f>
        <x:v>45504</x:v>
      </x:c>
      <x:c r="J58" s="18" t="n">
        <x:f>IF(H58="","",INDEX('黄金价格'!$E$3:$E$1940,H58-2))</x:f>
        <x:v>2447.24</x:v>
      </x:c>
      <x:c r="K58" s="18" t="n">
        <x:f>IF(OR(H58="",H58-2+1&gt;1938),"",INDEX('黄金价格'!$E$3:$E$1940,H58-2+1))</x:f>
        <x:v>2446.3</x:v>
      </x:c>
      <x:c r="L58" s="25" t="n">
        <x:f>IF(K58="","",K58/J58-1)</x:f>
        <x:v>-0.0003841061767541065</x:v>
      </x:c>
      <x:c r="M58" s="18" t="n">
        <x:f>IF(OR(H58="",H58-2+3&gt;1938),"",INDEX('黄金价格'!$E$3:$E$1940,H58-2+3))</x:f>
        <x:v>2409.96</x:v>
      </x:c>
      <x:c r="N58" s="25" t="n">
        <x:f>IF(M58="","",M58/J58-1)</x:f>
        <x:v>-0.015233487520635358</x:v>
      </x:c>
      <x:c r="O58" s="18" t="n">
        <x:f>IF(OR(H58="",H58-2+5&gt;1938),"",INDEX('黄金价格'!$E$3:$E$1940,H58-2+5))</x:f>
        <x:v>2383.06</x:v>
      </x:c>
      <x:c r="P58" s="25" t="n">
        <x:f>IF(O58="","",O58/J58-1)</x:f>
        <x:v>-0.026225462153282808</x:v>
      </x:c>
      <x:c r="Q58" s="18" t="n">
        <x:f>IF(OR(H58="",H58-2+10&gt;1938),"",INDEX('黄金价格'!$E$3:$E$1940,H58-2+10))</x:f>
        <x:v>2447.92</x:v>
      </x:c>
      <x:c r="R58" s="25" t="n">
        <x:f>IF(Q58="","",Q58/J58-1)</x:f>
        <x:v>0.0002778640427585355</x:v>
      </x:c>
      <x:c r="S58" s="18" t="n">
        <x:f>IF(OR(H58="",H58-2+20&gt;1938),"",INDEX('黄金价格'!$E$3:$E$1940,H58-2+20))</x:f>
        <x:v>2504.67</x:v>
      </x:c>
      <x:c r="T58" s="25" t="n">
        <x:f>IF(S58="","",S58/J58-1)</x:f>
        <x:v>0.02346725290531393</x:v>
      </x:c>
      <x:c r="U58" s="18" t="n">
        <x:f>IF(OR(H58="",H58-2+60&gt;1938),"",INDEX('黄金价格'!$E$3:$E$1940,H58-2+60))</x:f>
        <x:v>2715.57</x:v>
      </x:c>
      <x:c r="V58" s="25" t="n">
        <x:f>IF(U58="","",U58/J58-1)</x:f>
        <x:v>0.1096459685196387</x:v>
      </x:c>
      <x:c r="W58" t="str">
        <x:f>IF(P58="","数据不足",IF(P58&gt;1%,"上涨",IF(P58&lt;-1%,"下跌","震荡")))</x:f>
        <x:v>下跌</x:v>
      </x:c>
      <x:c r="X58" t="str">
        <x:f>IF(T58="","数据不足",IF(T58&gt;1%,"上涨",IF(T58&lt;-1%,"下跌","震荡")))</x:f>
        <x:v>上涨</x:v>
      </x:c>
      <x:c r="Y58" t="str">
        <x:f>IF(OR(W58="数据不足",X58="数据不足"),"数据不足",IF(W58=X58,W58,IF(AND(P58&gt;0,T58&gt;0),"先弱后强",IF(AND(P58&lt;0,T58&lt;0),"先强后弱","方向反转"))))</x:f>
        <x:v>方向反转</x:v>
      </x:c>
      <x:c r="Z58" t="str">
        <x:f>IF(H58="","无黄金数据",IF(V58="","窗口未满","完整"))</x:f>
        <x:v>完整</x:v>
      </x:c>
    </x:row>
    <x:row r="59">
      <x:c r="A59" t="n">
        <x:v>55</x:v>
      </x:c>
      <x:c r="B59" s="17" t="n">
        <x:v>45553</x:v>
      </x:c>
      <x:c r="C59" t="str">
        <x:v>例会</x:v>
      </x:c>
      <x:c r="D59" s="20" t="n">
        <x:v>0.055</x:v>
      </x:c>
      <x:c r="E59" s="20" t="n">
        <x:v>0.05</x:v>
      </x:c>
      <x:c r="F59" s="24" t="n">
        <x:f>(E59-D59)*10000</x:f>
        <x:v>-49.99999999999997</x:v>
      </x:c>
      <x:c r="G59" t="str">
        <x:f>IF(F59&gt;0,"加息",IF(F59&lt;0,"降息","暂停"))</x:f>
        <x:v>降息</x:v>
      </x:c>
      <x:c r="H59" t="n">
        <x:v>1756</x:v>
      </x:c>
      <x:c r="I59" s="17" t="n">
        <x:f>IF(H59="","",INDEX('黄金价格'!$A$3:$A$1940,H59-2))</x:f>
        <x:v>45553</x:v>
      </x:c>
      <x:c r="J59" s="18" t="n">
        <x:f>IF(H59="","",INDEX('黄金价格'!$E$3:$E$1940,H59-2))</x:f>
        <x:v>2559.27</x:v>
      </x:c>
      <x:c r="K59" s="18" t="n">
        <x:f>IF(OR(H59="",H59-2+1&gt;1938),"",INDEX('黄金价格'!$E$3:$E$1940,H59-2+1))</x:f>
        <x:v>2586.61</x:v>
      </x:c>
      <x:c r="L59" s="25" t="n">
        <x:f>IF(K59="","",K59/J59-1)</x:f>
        <x:v>0.010682733748295536</x:v>
      </x:c>
      <x:c r="M59" s="18" t="n">
        <x:f>IF(OR(H59="",H59-2+3&gt;1938),"",INDEX('黄金价格'!$E$3:$E$1940,H59-2+3))</x:f>
        <x:v>2628.39</x:v>
      </x:c>
      <x:c r="N59" s="25" t="n">
        <x:f>IF(M59="","",M59/J59-1)</x:f>
        <x:v>0.027007701414856644</x:v>
      </x:c>
      <x:c r="O59" s="18" t="n">
        <x:f>IF(OR(H59="",H59-2+5&gt;1938),"",INDEX('黄金价格'!$E$3:$E$1940,H59-2+5))</x:f>
        <x:v>2657.02</x:v>
      </x:c>
      <x:c r="P59" s="25" t="n">
        <x:f>IF(O59="","",O59/J59-1)</x:f>
        <x:v>0.038194485146154866</x:v>
      </x:c>
      <x:c r="Q59" s="18" t="n">
        <x:f>IF(OR(H59="",H59-2+10&gt;1938),"",INDEX('黄金价格'!$E$3:$E$1940,H59-2+10))</x:f>
        <x:v>2658.67</x:v>
      </x:c>
      <x:c r="R59" s="25" t="n">
        <x:f>IF(Q59="","",Q59/J59-1)</x:f>
        <x:v>0.03883920024069365</x:v>
      </x:c>
      <x:c r="S59" s="18" t="n">
        <x:f>IF(OR(H59="",H59-2+20&gt;1938),"",INDEX('黄金价格'!$E$3:$E$1940,H59-2+20))</x:f>
        <x:v>2673.64</x:v>
      </x:c>
      <x:c r="T59" s="25" t="n">
        <x:f>IF(S59="","",S59/J59-1)</x:f>
        <x:v>0.044688524462053625</x:v>
      </x:c>
      <x:c r="U59" s="18" t="n">
        <x:f>IF(OR(H59="",H59-2+60&gt;1938),"",INDEX('黄金价格'!$E$3:$E$1940,H59-2+60))</x:f>
        <x:v>2717.95</x:v>
      </x:c>
      <x:c r="V59" s="25" t="n">
        <x:f>IF(U59="","",U59/J59-1)</x:f>
        <x:v>0.06200205527357405</x:v>
      </x:c>
      <x:c r="W59" t="str">
        <x:f>IF(P59="","数据不足",IF(P59&gt;1%,"上涨",IF(P59&lt;-1%,"下跌","震荡")))</x:f>
        <x:v>上涨</x:v>
      </x:c>
      <x:c r="X59" t="str">
        <x:f>IF(T59="","数据不足",IF(T59&gt;1%,"上涨",IF(T59&lt;-1%,"下跌","震荡")))</x:f>
        <x:v>上涨</x:v>
      </x:c>
      <x:c r="Y59" t="str">
        <x:f>IF(OR(W59="数据不足",X59="数据不足"),"数据不足",IF(W59=X59,W59,IF(AND(P59&gt;0,T59&gt;0),"先弱后强",IF(AND(P59&lt;0,T59&lt;0),"先强后弱","方向反转"))))</x:f>
        <x:v>上涨</x:v>
      </x:c>
      <x:c r="Z59" t="str">
        <x:f>IF(H59="","无黄金数据",IF(V59="","窗口未满","完整"))</x:f>
        <x:v>完整</x:v>
      </x:c>
    </x:row>
    <x:row r="60">
      <x:c r="A60" t="n">
        <x:v>56</x:v>
      </x:c>
      <x:c r="B60" s="17" t="n">
        <x:v>45603</x:v>
      </x:c>
      <x:c r="C60" t="str">
        <x:v>例会</x:v>
      </x:c>
      <x:c r="D60" s="20" t="n">
        <x:v>0.05</x:v>
      </x:c>
      <x:c r="E60" s="20" t="n">
        <x:v>0.0475</x:v>
      </x:c>
      <x:c r="F60" s="24" t="n">
        <x:f>(E60-D60)*10000</x:f>
        <x:v>-25.00000000000002</x:v>
      </x:c>
      <x:c r="G60" t="str">
        <x:f>IF(F60&gt;0,"加息",IF(F60&lt;0,"降息","暂停"))</x:f>
        <x:v>降息</x:v>
      </x:c>
      <x:c r="H60" t="n">
        <x:v>1792</x:v>
      </x:c>
      <x:c r="I60" s="17" t="n">
        <x:f>IF(H60="","",INDEX('黄金价格'!$A$3:$A$1940,H60-2))</x:f>
        <x:v>45603</x:v>
      </x:c>
      <x:c r="J60" s="18" t="n">
        <x:f>IF(H60="","",INDEX('黄金价格'!$E$3:$E$1940,H60-2))</x:f>
        <x:v>2706.24</x:v>
      </x:c>
      <x:c r="K60" s="18" t="n">
        <x:f>IF(OR(H60="",H60-2+1&gt;1938),"",INDEX('黄金价格'!$E$3:$E$1940,H60-2+1))</x:f>
        <x:v>2684.15</x:v>
      </x:c>
      <x:c r="L60" s="25" t="n">
        <x:f>IF(K60="","",K60/J60-1)</x:f>
        <x:v>-0.008162616767175002</x:v>
      </x:c>
      <x:c r="M60" s="18" t="n">
        <x:f>IF(OR(H60="",H60-2+3&gt;1938),"",INDEX('黄金价格'!$E$3:$E$1940,H60-2+3))</x:f>
        <x:v>2597.98</x:v>
      </x:c>
      <x:c r="N60" s="25" t="n">
        <x:f>IF(M60="","",M60/J60-1)</x:f>
        <x:v>-0.040003842970320336</x:v>
      </x:c>
      <x:c r="O60" s="18" t="n">
        <x:f>IF(OR(H60="",H60-2+5&gt;1938),"",INDEX('黄金价格'!$E$3:$E$1940,H60-2+5))</x:f>
        <x:v>2564.53</x:v>
      </x:c>
      <x:c r="P60" s="25" t="n">
        <x:f>IF(O60="","",O60/J60-1)</x:f>
        <x:v>-0.052364165779827165</x:v>
      </x:c>
      <x:c r="Q60" s="18" t="n">
        <x:f>IF(OR(H60="",H60-2+10&gt;1938),"",INDEX('黄金价格'!$E$3:$E$1940,H60-2+10))</x:f>
        <x:v>2669.41</x:v>
      </x:c>
      <x:c r="R60" s="25" t="n">
        <x:f>IF(Q60="","",Q60/J60-1)</x:f>
        <x:v>-0.013609288163651367</x:v>
      </x:c>
      <x:c r="S60" s="18" t="n">
        <x:f>IF(OR(H60="",H60-2+20&gt;1938),"",INDEX('黄金价格'!$E$3:$E$1940,H60-2+20))</x:f>
        <x:v>2631.66</x:v>
      </x:c>
      <x:c r="T60" s="25" t="n">
        <x:f>IF(S60="","",S60/J60-1)</x:f>
        <x:v>-0.027558531394111352</x:v>
      </x:c>
      <x:c r="U60" s="18" t="n">
        <x:f>IF(OR(H60="",H60-2+60&gt;1938),"",INDEX('黄金价格'!$E$3:$E$1940,H60-2+60))</x:f>
        <x:v>2814.75</x:v>
      </x:c>
      <x:c r="V60" s="25" t="n">
        <x:f>IF(U60="","",U60/J60-1)</x:f>
        <x:v>0.04009622206456198</x:v>
      </x:c>
      <x:c r="W60" t="str">
        <x:f>IF(P60="","数据不足",IF(P60&gt;1%,"上涨",IF(P60&lt;-1%,"下跌","震荡")))</x:f>
        <x:v>下跌</x:v>
      </x:c>
      <x:c r="X60" t="str">
        <x:f>IF(T60="","数据不足",IF(T60&gt;1%,"上涨",IF(T60&lt;-1%,"下跌","震荡")))</x:f>
        <x:v>下跌</x:v>
      </x:c>
      <x:c r="Y60" t="str">
        <x:f>IF(OR(W60="数据不足",X60="数据不足"),"数据不足",IF(W60=X60,W60,IF(AND(P60&gt;0,T60&gt;0),"先弱后强",IF(AND(P60&lt;0,T60&lt;0),"先强后弱","方向反转"))))</x:f>
        <x:v>下跌</x:v>
      </x:c>
      <x:c r="Z60" t="str">
        <x:f>IF(H60="","无黄金数据",IF(V60="","窗口未满","完整"))</x:f>
        <x:v>完整</x:v>
      </x:c>
    </x:row>
    <x:row r="61">
      <x:c r="A61" t="n">
        <x:v>57</x:v>
      </x:c>
      <x:c r="B61" s="17" t="n">
        <x:v>45644</x:v>
      </x:c>
      <x:c r="C61" t="str">
        <x:v>例会</x:v>
      </x:c>
      <x:c r="D61" s="20" t="n">
        <x:v>0.0475</x:v>
      </x:c>
      <x:c r="E61" s="20" t="n">
        <x:v>0.045</x:v>
      </x:c>
      <x:c r="F61" s="24" t="n">
        <x:f>(E61-D61)*10000</x:f>
        <x:v>-25.00000000000002</x:v>
      </x:c>
      <x:c r="G61" t="str">
        <x:f>IF(F61&gt;0,"加息",IF(F61&lt;0,"降息","暂停"))</x:f>
        <x:v>降息</x:v>
      </x:c>
      <x:c r="H61" t="n">
        <x:v>1821</x:v>
      </x:c>
      <x:c r="I61" s="17" t="n">
        <x:f>IF(H61="","",INDEX('黄金价格'!$A$3:$A$1940,H61-2))</x:f>
        <x:v>45644</x:v>
      </x:c>
      <x:c r="J61" s="18" t="n">
        <x:f>IF(H61="","",INDEX('黄金价格'!$E$3:$E$1940,H61-2))</x:f>
        <x:v>2585.31</x:v>
      </x:c>
      <x:c r="K61" s="18" t="n">
        <x:f>IF(OR(H61="",H61-2+1&gt;1938),"",INDEX('黄金价格'!$E$3:$E$1940,H61-2+1))</x:f>
        <x:v>2594.39</x:v>
      </x:c>
      <x:c r="L61" s="25" t="n">
        <x:f>IF(K61="","",K61/J61-1)</x:f>
        <x:v>0.0035121513474205557</x:v>
      </x:c>
      <x:c r="M61" s="18" t="n">
        <x:f>IF(OR(H61="",H61-2+3&gt;1938),"",INDEX('黄金价格'!$E$3:$E$1940,H61-2+3))</x:f>
        <x:v>2612.77</x:v>
      </x:c>
      <x:c r="N61" s="25" t="n">
        <x:f>IF(M61="","",M61/J61-1)</x:f>
        <x:v>0.010621550220283105</x:v>
      </x:c>
      <x:c r="O61" s="18" t="n">
        <x:f>IF(OR(H61="",H61-2+5&gt;1938),"",INDEX('黄金价格'!$E$3:$E$1940,H61-2+5))</x:f>
        <x:v>2633.53</x:v>
      </x:c>
      <x:c r="P61" s="25" t="n">
        <x:f>IF(O61="","",O61/J61-1)</x:f>
        <x:v>0.01865153501901129</x:v>
      </x:c>
      <x:c r="Q61" s="18" t="n">
        <x:f>IF(OR(H61="",H61-2+10&gt;1938),"",INDEX('黄金价格'!$E$3:$E$1940,H61-2+10))</x:f>
        <x:v>2639.98</x:v>
      </x:c>
      <x:c r="R61" s="25" t="n">
        <x:f>IF(Q61="","",Q61/J61-1)</x:f>
        <x:v>0.021146400238269303</x:v>
      </x:c>
      <x:c r="S61" s="18" t="n">
        <x:f>IF(OR(H61="",H61-2+20&gt;1938),"",INDEX('黄金价格'!$E$3:$E$1940,H61-2+20))</x:f>
        <x:v>2702.92</x:v>
      </x:c>
      <x:c r="T61" s="25" t="n">
        <x:f>IF(S61="","",S61/J61-1)</x:f>
        <x:v>0.045491643168517504</x:v>
      </x:c>
      <x:c r="U61" s="18" t="n">
        <x:f>IF(OR(H61="",H61-2+60&gt;1938),"",INDEX('黄金价格'!$E$3:$E$1940,H61-2+60))</x:f>
        <x:v>2984.13</x:v>
      </x:c>
      <x:c r="V61" s="25" t="n">
        <x:f>IF(U61="","",U61/J61-1)</x:f>
        <x:v>0.15426389872007618</x:v>
      </x:c>
      <x:c r="W61" t="str">
        <x:f>IF(P61="","数据不足",IF(P61&gt;1%,"上涨",IF(P61&lt;-1%,"下跌","震荡")))</x:f>
        <x:v>上涨</x:v>
      </x:c>
      <x:c r="X61" t="str">
        <x:f>IF(T61="","数据不足",IF(T61&gt;1%,"上涨",IF(T61&lt;-1%,"下跌","震荡")))</x:f>
        <x:v>上涨</x:v>
      </x:c>
      <x:c r="Y61" t="str">
        <x:f>IF(OR(W61="数据不足",X61="数据不足"),"数据不足",IF(W61=X61,W61,IF(AND(P61&gt;0,T61&gt;0),"先弱后强",IF(AND(P61&lt;0,T61&lt;0),"先强后弱","方向反转"))))</x:f>
        <x:v>上涨</x:v>
      </x:c>
      <x:c r="Z61" t="str">
        <x:f>IF(H61="","无黄金数据",IF(V61="","窗口未满","完整"))</x:f>
        <x:v>完整</x:v>
      </x:c>
    </x:row>
    <x:row r="62">
      <x:c r="A62" t="n">
        <x:v>58</x:v>
      </x:c>
      <x:c r="B62" s="17" t="n">
        <x:v>45686</x:v>
      </x:c>
      <x:c r="C62" t="str">
        <x:v>例会</x:v>
      </x:c>
      <x:c r="D62" s="20" t="n">
        <x:v>0.045</x:v>
      </x:c>
      <x:c r="E62" s="20" t="n">
        <x:v>0.045</x:v>
      </x:c>
      <x:c r="F62" s="24" t="n">
        <x:f>(E62-D62)*10000</x:f>
        <x:v>0</x:v>
      </x:c>
      <x:c r="G62" t="str">
        <x:f>IF(F62&gt;0,"加息",IF(F62&lt;0,"降息","暂停"))</x:f>
        <x:v>暂停</x:v>
      </x:c>
      <x:c r="H62" t="n">
        <x:v>1849</x:v>
      </x:c>
      <x:c r="I62" s="17" t="n">
        <x:f>IF(H62="","",INDEX('黄金价格'!$A$3:$A$1940,H62-2))</x:f>
        <x:v>45686</x:v>
      </x:c>
      <x:c r="J62" s="18" t="n">
        <x:f>IF(H62="","",INDEX('黄金价格'!$E$3:$E$1940,H62-2))</x:f>
        <x:v>2759.68</x:v>
      </x:c>
      <x:c r="K62" s="18" t="n">
        <x:f>IF(OR(H62="",H62-2+1&gt;1938),"",INDEX('黄金价格'!$E$3:$E$1940,H62-2+1))</x:f>
        <x:v>2794.06</x:v>
      </x:c>
      <x:c r="L62" s="25" t="n">
        <x:f>IF(K62="","",K62/J62-1)</x:f>
        <x:v>0.012457966141001808</x:v>
      </x:c>
      <x:c r="M62" s="18" t="n">
        <x:f>IF(OR(H62="",H62-2+3&gt;1938),"",INDEX('黄金价格'!$E$3:$E$1940,H62-2+3))</x:f>
        <x:v>2814.75</x:v>
      </x:c>
      <x:c r="N62" s="25" t="n">
        <x:f>IF(M62="","",M62/J62-1)</x:f>
        <x:v>0.019955212198515815</x:v>
      </x:c>
      <x:c r="O62" s="18" t="n">
        <x:f>IF(OR(H62="",H62-2+5&gt;1938),"",INDEX('黄金价格'!$E$3:$E$1940,H62-2+5))</x:f>
        <x:v>2867.02</x:v>
      </x:c>
      <x:c r="P62" s="25" t="n">
        <x:f>IF(O62="","",O62/J62-1)</x:f>
        <x:v>0.03889581400742115</x:v>
      </x:c>
      <x:c r="Q62" s="18" t="n">
        <x:f>IF(OR(H62="",H62-2+10&gt;1938),"",INDEX('黄金价格'!$E$3:$E$1940,H62-2+10))</x:f>
        <x:v>2903.35</x:v>
      </x:c>
      <x:c r="R62" s="25" t="n">
        <x:f>IF(Q62="","",Q62/J62-1)</x:f>
        <x:v>0.05206038381261591</x:v>
      </x:c>
      <x:c r="S62" s="18" t="n">
        <x:f>IF(OR(H62="",H62-2+20&gt;1938),"",INDEX('黄金价格'!$E$3:$E$1940,H62-2+20))</x:f>
        <x:v>2915.63</x:v>
      </x:c>
      <x:c r="T62" s="25" t="n">
        <x:f>IF(S62="","",S62/J62-1)</x:f>
        <x:v>0.05651017509276457</x:v>
      </x:c>
      <x:c r="U62" s="18" t="n">
        <x:f>IF(OR(H62="",H62-2+60&gt;1938),"",INDEX('黄金价格'!$E$3:$E$1940,H62-2+60))</x:f>
        <x:v>3349.57</x:v>
      </x:c>
      <x:c r="V62" s="25" t="n">
        <x:f>IF(U62="","",U62/J62-1)</x:f>
        <x:v>0.213753043831169</x:v>
      </x:c>
      <x:c r="W62" t="str">
        <x:f>IF(P62="","数据不足",IF(P62&gt;1%,"上涨",IF(P62&lt;-1%,"下跌","震荡")))</x:f>
        <x:v>上涨</x:v>
      </x:c>
      <x:c r="X62" t="str">
        <x:f>IF(T62="","数据不足",IF(T62&gt;1%,"上涨",IF(T62&lt;-1%,"下跌","震荡")))</x:f>
        <x:v>上涨</x:v>
      </x:c>
      <x:c r="Y62" t="str">
        <x:f>IF(OR(W62="数据不足",X62="数据不足"),"数据不足",IF(W62=X62,W62,IF(AND(P62&gt;0,T62&gt;0),"先弱后强",IF(AND(P62&lt;0,T62&lt;0),"先强后弱","方向反转"))))</x:f>
        <x:v>上涨</x:v>
      </x:c>
      <x:c r="Z62" t="str">
        <x:f>IF(H62="","无黄金数据",IF(V62="","窗口未满","完整"))</x:f>
        <x:v>完整</x:v>
      </x:c>
    </x:row>
    <x:row r="63">
      <x:c r="A63" t="n">
        <x:v>59</x:v>
      </x:c>
      <x:c r="B63" s="17" t="n">
        <x:v>45735</x:v>
      </x:c>
      <x:c r="C63" t="str">
        <x:v>例会</x:v>
      </x:c>
      <x:c r="D63" s="20" t="n">
        <x:v>0.045</x:v>
      </x:c>
      <x:c r="E63" s="20" t="n">
        <x:v>0.045</x:v>
      </x:c>
      <x:c r="F63" s="24" t="n">
        <x:f>(E63-D63)*10000</x:f>
        <x:v>0</x:v>
      </x:c>
      <x:c r="G63" t="str">
        <x:f>IF(F63&gt;0,"加息",IF(F63&lt;0,"降息","暂停"))</x:f>
        <x:v>暂停</x:v>
      </x:c>
      <x:c r="H63" t="n">
        <x:v>1884</x:v>
      </x:c>
      <x:c r="I63" s="17" t="n">
        <x:f>IF(H63="","",INDEX('黄金价格'!$A$3:$A$1940,H63-2))</x:f>
        <x:v>45735</x:v>
      </x:c>
      <x:c r="J63" s="18" t="n">
        <x:f>IF(H63="","",INDEX('黄金价格'!$E$3:$E$1940,H63-2))</x:f>
        <x:v>3046.81</x:v>
      </x:c>
      <x:c r="K63" s="18" t="n">
        <x:f>IF(OR(H63="",H63-2+1&gt;1938),"",INDEX('黄金价格'!$E$3:$E$1940,H63-2+1))</x:f>
        <x:v>3044.22</x:v>
      </x:c>
      <x:c r="L63" s="25" t="n">
        <x:f>IF(K63="","",K63/J63-1)</x:f>
        <x:v>-0.0008500694168656064</x:v>
      </x:c>
      <x:c r="M63" s="18" t="n">
        <x:f>IF(OR(H63="",H63-2+3&gt;1938),"",INDEX('黄金价格'!$E$3:$E$1940,H63-2+3))</x:f>
        <x:v>3011.52</x:v>
      </x:c>
      <x:c r="N63" s="25" t="n">
        <x:f>IF(M63="","",M63/J63-1)</x:f>
        <x:v>-0.011582606069955093</x:v>
      </x:c>
      <x:c r="O63" s="18" t="n">
        <x:f>IF(OR(H63="",H63-2+5&gt;1938),"",INDEX('黄金价格'!$E$3:$E$1940,H63-2+5))</x:f>
        <x:v>3019</x:v>
      </x:c>
      <x:c r="P63" s="25" t="n">
        <x:f>IF(O63="","",O63/J63-1)</x:f>
        <x:v>-0.009127579337077085</x:v>
      </x:c>
      <x:c r="Q63" s="18" t="n">
        <x:f>IF(OR(H63="",H63-2+10&gt;1938),"",INDEX('黄金价格'!$E$3:$E$1940,H63-2+10))</x:f>
        <x:v>3135.72</x:v>
      </x:c>
      <x:c r="R63" s="25" t="n">
        <x:f>IF(Q63="","",Q63/J63-1)</x:f>
        <x:v>0.029181340483981577</x:v>
      </x:c>
      <x:c r="S63" s="18" t="n">
        <x:f>IF(OR(H63="",H63-2+20&gt;1938),"",INDEX('黄金价格'!$E$3:$E$1940,H63-2+20))</x:f>
        <x:v>3343.11</x:v>
      </x:c>
      <x:c r="T63" s="25" t="n">
        <x:f>IF(S63="","",S63/J63-1)</x:f>
        <x:v>0.0972492541379344</x:v>
      </x:c>
      <x:c r="U63" s="18" t="str">
        <x:f>IF(OR(H63="",H63-2+60&gt;1938),"",INDEX('黄金价格'!$E$3:$E$1940,H63-2+60))</x:f>
      </x:c>
      <x:c r="V63" s="25" t="str">
        <x:f>IF(U63="","",U63/J63-1)</x:f>
      </x:c>
      <x:c r="W63" t="str">
        <x:f>IF(P63="","数据不足",IF(P63&gt;1%,"上涨",IF(P63&lt;-1%,"下跌","震荡")))</x:f>
        <x:v>震荡</x:v>
      </x:c>
      <x:c r="X63" t="str">
        <x:f>IF(T63="","数据不足",IF(T63&gt;1%,"上涨",IF(T63&lt;-1%,"下跌","震荡")))</x:f>
        <x:v>上涨</x:v>
      </x:c>
      <x:c r="Y63" t="str">
        <x:f>IF(OR(W63="数据不足",X63="数据不足"),"数据不足",IF(W63=X63,W63,IF(AND(P63&gt;0,T63&gt;0),"先弱后强",IF(AND(P63&lt;0,T63&lt;0),"先强后弱","方向反转"))))</x:f>
        <x:v>方向反转</x:v>
      </x:c>
      <x:c r="Z63" t="str">
        <x:f>IF(H63="","无黄金数据",IF(V63="","窗口未满","完整"))</x:f>
        <x:v>窗口未满</x:v>
      </x:c>
    </x:row>
    <x:row r="64">
      <x:c r="A64" t="n">
        <x:v>60</x:v>
      </x:c>
      <x:c r="B64" s="17" t="n">
        <x:v>45784</x:v>
      </x:c>
      <x:c r="C64" t="str">
        <x:v>例会</x:v>
      </x:c>
      <x:c r="D64" s="20" t="n">
        <x:v>0.045</x:v>
      </x:c>
      <x:c r="E64" s="20" t="n">
        <x:v>0.045</x:v>
      </x:c>
      <x:c r="F64" s="24" t="n">
        <x:f>(E64-D64)*10000</x:f>
        <x:v>0</x:v>
      </x:c>
      <x:c r="G64" t="str">
        <x:f>IF(F64&gt;0,"加息",IF(F64&lt;0,"降息","暂停"))</x:f>
        <x:v>暂停</x:v>
      </x:c>
      <x:c r="H64" t="n">
        <x:v>1918</x:v>
      </x:c>
      <x:c r="I64" s="17" t="n">
        <x:f>IF(H64="","",INDEX('黄金价格'!$A$3:$A$1940,H64-2))</x:f>
        <x:v>45784</x:v>
      </x:c>
      <x:c r="J64" s="18" t="n">
        <x:f>IF(H64="","",INDEX('黄金价格'!$E$3:$E$1940,H64-2))</x:f>
        <x:v>3364.32</x:v>
      </x:c>
      <x:c r="K64" s="18" t="n">
        <x:f>IF(OR(H64="",H64-2+1&gt;1938),"",INDEX('黄金价格'!$E$3:$E$1940,H64-2+1))</x:f>
        <x:v>3305.2</x:v>
      </x:c>
      <x:c r="L64" s="25" t="n">
        <x:f>IF(K64="","",K64/J64-1)</x:f>
        <x:v>-0.01757264469491615</x:v>
      </x:c>
      <x:c r="M64" s="18" t="n">
        <x:f>IF(OR(H64="",H64-2+3&gt;1938),"",INDEX('黄金价格'!$E$3:$E$1940,H64-2+3))</x:f>
        <x:v>3235.67</x:v>
      </x:c>
      <x:c r="N64" s="25" t="n">
        <x:f>IF(M64="","",M64/J64-1)</x:f>
        <x:v>-0.03823952537214059</x:v>
      </x:c>
      <x:c r="O64" s="18" t="n">
        <x:f>IF(OR(H64="",H64-2+5&gt;1938),"",INDEX('黄金价格'!$E$3:$E$1940,H64-2+5))</x:f>
        <x:v>3177.06</x:v>
      </x:c>
      <x:c r="P64" s="25" t="n">
        <x:f>IF(O64="","",O64/J64-1)</x:f>
        <x:v>-0.05566057925524337</x:v>
      </x:c>
      <x:c r="Q64" s="18" t="n">
        <x:f>IF(OR(H64="",H64-2+10&gt;1938),"",INDEX('黄金价格'!$E$3:$E$1940,H64-2+10))</x:f>
        <x:v>3314.89</x:v>
      </x:c>
      <x:c r="R64" s="25" t="n">
        <x:f>IF(Q64="","",Q64/J64-1)</x:f>
        <x:v>-0.014692419270461832</x:v>
      </x:c>
      <x:c r="S64" s="18" t="n">
        <x:f>IF(OR(H64="",H64-2+20&gt;1938),"",INDEX('黄金价格'!$E$3:$E$1940,H64-2+20))</x:f>
        <x:v>3372.25</x:v>
      </x:c>
      <x:c r="T64" s="25" t="n">
        <x:f>IF(S64="","",S64/J64-1)</x:f>
        <x:v>0.002357088505255067</x:v>
      </x:c>
      <x:c r="U64" s="18" t="str">
        <x:f>IF(OR(H64="",H64-2+60&gt;1938),"",INDEX('黄金价格'!$E$3:$E$1940,H64-2+60))</x:f>
      </x:c>
      <x:c r="V64" s="25" t="str">
        <x:f>IF(U64="","",U64/J64-1)</x:f>
      </x:c>
      <x:c r="W64" t="str">
        <x:f>IF(P64="","数据不足",IF(P64&gt;1%,"上涨",IF(P64&lt;-1%,"下跌","震荡")))</x:f>
        <x:v>下跌</x:v>
      </x:c>
      <x:c r="X64" t="str">
        <x:f>IF(T64="","数据不足",IF(T64&gt;1%,"上涨",IF(T64&lt;-1%,"下跌","震荡")))</x:f>
        <x:v>震荡</x:v>
      </x:c>
      <x:c r="Y64" t="str">
        <x:f>IF(OR(W64="数据不足",X64="数据不足"),"数据不足",IF(W64=X64,W64,IF(AND(P64&gt;0,T64&gt;0),"先弱后强",IF(AND(P64&lt;0,T64&lt;0),"先强后弱","方向反转"))))</x:f>
        <x:v>方向反转</x:v>
      </x:c>
      <x:c r="Z64" t="str">
        <x:f>IF(H64="","无黄金数据",IF(V64="","窗口未满","完整"))</x:f>
        <x:v>窗口未满</x:v>
      </x:c>
    </x:row>
    <x:row r="65">
      <x:c r="A65" t="n">
        <x:v>61</x:v>
      </x:c>
      <x:c r="B65" s="17" t="n">
        <x:v>45826</x:v>
      </x:c>
      <x:c r="C65" t="str">
        <x:v>例会</x:v>
      </x:c>
      <x:c r="D65" s="20" t="n">
        <x:v>0.045</x:v>
      </x:c>
      <x:c r="E65" s="20" t="n">
        <x:v>0.045</x:v>
      </x:c>
      <x:c r="F65" s="24" t="n">
        <x:f>(E65-D65)*10000</x:f>
        <x:v>0</x:v>
      </x:c>
      <x:c r="G65" t="str">
        <x:f>IF(F65&gt;0,"加息",IF(F65&lt;0,"降息","暂停"))</x:f>
        <x:v>暂停</x:v>
      </x:c>
      <x:c r="H65"/>
      <x:c r="I65" s="17" t="str">
        <x:f>IF(H65="","",INDEX('黄金价格'!$A$3:$A$1940,H65-2))</x:f>
      </x:c>
      <x:c r="J65" s="18" t="str">
        <x:f>IF(H65="","",INDEX('黄金价格'!$E$3:$E$1940,H65-2))</x:f>
      </x:c>
      <x:c r="K65" s="18" t="str">
        <x:f>IF(OR(H65="",H65-2+1&gt;1938),"",INDEX('黄金价格'!$E$3:$E$1940,H65-2+1))</x:f>
      </x:c>
      <x:c r="L65" s="25" t="str">
        <x:f>IF(K65="","",K65/J65-1)</x:f>
      </x:c>
      <x:c r="M65" s="18" t="str">
        <x:f>IF(OR(H65="",H65-2+3&gt;1938),"",INDEX('黄金价格'!$E$3:$E$1940,H65-2+3))</x:f>
      </x:c>
      <x:c r="N65" s="25" t="str">
        <x:f>IF(M65="","",M65/J65-1)</x:f>
      </x:c>
      <x:c r="O65" s="18" t="str">
        <x:f>IF(OR(H65="",H65-2+5&gt;1938),"",INDEX('黄金价格'!$E$3:$E$1940,H65-2+5))</x:f>
      </x:c>
      <x:c r="P65" s="25" t="str">
        <x:f>IF(O65="","",O65/J65-1)</x:f>
      </x:c>
      <x:c r="Q65" s="18" t="str">
        <x:f>IF(OR(H65="",H65-2+10&gt;1938),"",INDEX('黄金价格'!$E$3:$E$1940,H65-2+10))</x:f>
      </x:c>
      <x:c r="R65" s="25" t="str">
        <x:f>IF(Q65="","",Q65/J65-1)</x:f>
      </x:c>
      <x:c r="S65" s="18" t="str">
        <x:f>IF(OR(H65="",H65-2+20&gt;1938),"",INDEX('黄金价格'!$E$3:$E$1940,H65-2+20))</x:f>
      </x:c>
      <x:c r="T65" s="25" t="str">
        <x:f>IF(S65="","",S65/J65-1)</x:f>
      </x:c>
      <x:c r="U65" s="18" t="str">
        <x:f>IF(OR(H65="",H65-2+60&gt;1938),"",INDEX('黄金价格'!$E$3:$E$1940,H65-2+60))</x:f>
      </x:c>
      <x:c r="V65" s="25" t="str">
        <x:f>IF(U65="","",U65/J65-1)</x:f>
      </x:c>
      <x:c r="W65" t="str">
        <x:f>IF(P65="","数据不足",IF(P65&gt;1%,"上涨",IF(P65&lt;-1%,"下跌","震荡")))</x:f>
        <x:v>数据不足</x:v>
      </x:c>
      <x:c r="X65" t="str">
        <x:f>IF(T65="","数据不足",IF(T65&gt;1%,"上涨",IF(T65&lt;-1%,"下跌","震荡")))</x:f>
        <x:v>数据不足</x:v>
      </x:c>
      <x:c r="Y65" t="str">
        <x:f>IF(OR(W65="数据不足",X65="数据不足"),"数据不足",IF(W65=X65,W65,IF(AND(P65&gt;0,T65&gt;0),"先弱后强",IF(AND(P65&lt;0,T65&lt;0),"先强后弱","方向反转"))))</x:f>
        <x:v>数据不足</x:v>
      </x:c>
      <x:c r="Z65" t="str">
        <x:f>IF(H65="","无黄金数据",IF(V65="","窗口未满","完整"))</x:f>
        <x:v>无黄金数据</x:v>
      </x:c>
    </x:row>
    <x:row r="66">
      <x:c r="A66" t="n">
        <x:v>62</x:v>
      </x:c>
      <x:c r="B66" s="17" t="n">
        <x:v>45868</x:v>
      </x:c>
      <x:c r="C66" t="str">
        <x:v>例会</x:v>
      </x:c>
      <x:c r="D66" s="20" t="n">
        <x:v>0.045</x:v>
      </x:c>
      <x:c r="E66" s="20" t="n">
        <x:v>0.045</x:v>
      </x:c>
      <x:c r="F66" s="24" t="n">
        <x:f>(E66-D66)*10000</x:f>
        <x:v>0</x:v>
      </x:c>
      <x:c r="G66" t="str">
        <x:f>IF(F66&gt;0,"加息",IF(F66&lt;0,"降息","暂停"))</x:f>
        <x:v>暂停</x:v>
      </x:c>
      <x:c r="H66"/>
      <x:c r="I66" s="17" t="str">
        <x:f>IF(H66="","",INDEX('黄金价格'!$A$3:$A$1940,H66-2))</x:f>
      </x:c>
      <x:c r="J66" s="18" t="str">
        <x:f>IF(H66="","",INDEX('黄金价格'!$E$3:$E$1940,H66-2))</x:f>
      </x:c>
      <x:c r="K66" s="18" t="str">
        <x:f>IF(OR(H66="",H66-2+1&gt;1938),"",INDEX('黄金价格'!$E$3:$E$1940,H66-2+1))</x:f>
      </x:c>
      <x:c r="L66" s="25" t="str">
        <x:f>IF(K66="","",K66/J66-1)</x:f>
      </x:c>
      <x:c r="M66" s="18" t="str">
        <x:f>IF(OR(H66="",H66-2+3&gt;1938),"",INDEX('黄金价格'!$E$3:$E$1940,H66-2+3))</x:f>
      </x:c>
      <x:c r="N66" s="25" t="str">
        <x:f>IF(M66="","",M66/J66-1)</x:f>
      </x:c>
      <x:c r="O66" s="18" t="str">
        <x:f>IF(OR(H66="",H66-2+5&gt;1938),"",INDEX('黄金价格'!$E$3:$E$1940,H66-2+5))</x:f>
      </x:c>
      <x:c r="P66" s="25" t="str">
        <x:f>IF(O66="","",O66/J66-1)</x:f>
      </x:c>
      <x:c r="Q66" s="18" t="str">
        <x:f>IF(OR(H66="",H66-2+10&gt;1938),"",INDEX('黄金价格'!$E$3:$E$1940,H66-2+10))</x:f>
      </x:c>
      <x:c r="R66" s="25" t="str">
        <x:f>IF(Q66="","",Q66/J66-1)</x:f>
      </x:c>
      <x:c r="S66" s="18" t="str">
        <x:f>IF(OR(H66="",H66-2+20&gt;1938),"",INDEX('黄金价格'!$E$3:$E$1940,H66-2+20))</x:f>
      </x:c>
      <x:c r="T66" s="25" t="str">
        <x:f>IF(S66="","",S66/J66-1)</x:f>
      </x:c>
      <x:c r="U66" s="18" t="str">
        <x:f>IF(OR(H66="",H66-2+60&gt;1938),"",INDEX('黄金价格'!$E$3:$E$1940,H66-2+60))</x:f>
      </x:c>
      <x:c r="V66" s="25" t="str">
        <x:f>IF(U66="","",U66/J66-1)</x:f>
      </x:c>
      <x:c r="W66" t="str">
        <x:f>IF(P66="","数据不足",IF(P66&gt;1%,"上涨",IF(P66&lt;-1%,"下跌","震荡")))</x:f>
        <x:v>数据不足</x:v>
      </x:c>
      <x:c r="X66" t="str">
        <x:f>IF(T66="","数据不足",IF(T66&gt;1%,"上涨",IF(T66&lt;-1%,"下跌","震荡")))</x:f>
        <x:v>数据不足</x:v>
      </x:c>
      <x:c r="Y66" t="str">
        <x:f>IF(OR(W66="数据不足",X66="数据不足"),"数据不足",IF(W66=X66,W66,IF(AND(P66&gt;0,T66&gt;0),"先弱后强",IF(AND(P66&lt;0,T66&lt;0),"先强后弱","方向反转"))))</x:f>
        <x:v>数据不足</x:v>
      </x:c>
      <x:c r="Z66" t="str">
        <x:f>IF(H66="","无黄金数据",IF(V66="","窗口未满","完整"))</x:f>
        <x:v>无黄金数据</x:v>
      </x:c>
    </x:row>
    <x:row r="67">
      <x:c r="A67" t="n">
        <x:v>63</x:v>
      </x:c>
      <x:c r="B67" s="17" t="n">
        <x:v>45917</x:v>
      </x:c>
      <x:c r="C67" t="str">
        <x:v>例会</x:v>
      </x:c>
      <x:c r="D67" s="20" t="n">
        <x:v>0.045</x:v>
      </x:c>
      <x:c r="E67" s="20" t="n">
        <x:v>0.0425</x:v>
      </x:c>
      <x:c r="F67" s="24" t="n">
        <x:f>(E67-D67)*10000</x:f>
        <x:v>-24.999999999999954</x:v>
      </x:c>
      <x:c r="G67" t="str">
        <x:f>IF(F67&gt;0,"加息",IF(F67&lt;0,"降息","暂停"))</x:f>
        <x:v>降息</x:v>
      </x:c>
      <x:c r="H67"/>
      <x:c r="I67" s="17" t="str">
        <x:f>IF(H67="","",INDEX('黄金价格'!$A$3:$A$1940,H67-2))</x:f>
      </x:c>
      <x:c r="J67" s="18" t="str">
        <x:f>IF(H67="","",INDEX('黄金价格'!$E$3:$E$1940,H67-2))</x:f>
      </x:c>
      <x:c r="K67" s="18" t="str">
        <x:f>IF(OR(H67="",H67-2+1&gt;1938),"",INDEX('黄金价格'!$E$3:$E$1940,H67-2+1))</x:f>
      </x:c>
      <x:c r="L67" s="25" t="str">
        <x:f>IF(K67="","",K67/J67-1)</x:f>
      </x:c>
      <x:c r="M67" s="18" t="str">
        <x:f>IF(OR(H67="",H67-2+3&gt;1938),"",INDEX('黄金价格'!$E$3:$E$1940,H67-2+3))</x:f>
      </x:c>
      <x:c r="N67" s="25" t="str">
        <x:f>IF(M67="","",M67/J67-1)</x:f>
      </x:c>
      <x:c r="O67" s="18" t="str">
        <x:f>IF(OR(H67="",H67-2+5&gt;1938),"",INDEX('黄金价格'!$E$3:$E$1940,H67-2+5))</x:f>
      </x:c>
      <x:c r="P67" s="25" t="str">
        <x:f>IF(O67="","",O67/J67-1)</x:f>
      </x:c>
      <x:c r="Q67" s="18" t="str">
        <x:f>IF(OR(H67="",H67-2+10&gt;1938),"",INDEX('黄金价格'!$E$3:$E$1940,H67-2+10))</x:f>
      </x:c>
      <x:c r="R67" s="25" t="str">
        <x:f>IF(Q67="","",Q67/J67-1)</x:f>
      </x:c>
      <x:c r="S67" s="18" t="str">
        <x:f>IF(OR(H67="",H67-2+20&gt;1938),"",INDEX('黄金价格'!$E$3:$E$1940,H67-2+20))</x:f>
      </x:c>
      <x:c r="T67" s="25" t="str">
        <x:f>IF(S67="","",S67/J67-1)</x:f>
      </x:c>
      <x:c r="U67" s="18" t="str">
        <x:f>IF(OR(H67="",H67-2+60&gt;1938),"",INDEX('黄金价格'!$E$3:$E$1940,H67-2+60))</x:f>
      </x:c>
      <x:c r="V67" s="25" t="str">
        <x:f>IF(U67="","",U67/J67-1)</x:f>
      </x:c>
      <x:c r="W67" t="str">
        <x:f>IF(P67="","数据不足",IF(P67&gt;1%,"上涨",IF(P67&lt;-1%,"下跌","震荡")))</x:f>
        <x:v>数据不足</x:v>
      </x:c>
      <x:c r="X67" t="str">
        <x:f>IF(T67="","数据不足",IF(T67&gt;1%,"上涨",IF(T67&lt;-1%,"下跌","震荡")))</x:f>
        <x:v>数据不足</x:v>
      </x:c>
      <x:c r="Y67" t="str">
        <x:f>IF(OR(W67="数据不足",X67="数据不足"),"数据不足",IF(W67=X67,W67,IF(AND(P67&gt;0,T67&gt;0),"先弱后强",IF(AND(P67&lt;0,T67&lt;0),"先强后弱","方向反转"))))</x:f>
        <x:v>数据不足</x:v>
      </x:c>
      <x:c r="Z67" t="str">
        <x:f>IF(H67="","无黄金数据",IF(V67="","窗口未满","完整"))</x:f>
        <x:v>无黄金数据</x:v>
      </x:c>
    </x:row>
    <x:row r="68">
      <x:c r="A68" t="n">
        <x:v>64</x:v>
      </x:c>
      <x:c r="B68" s="17" t="n">
        <x:v>45959</x:v>
      </x:c>
      <x:c r="C68" t="str">
        <x:v>例会</x:v>
      </x:c>
      <x:c r="D68" s="20" t="n">
        <x:v>0.0425</x:v>
      </x:c>
      <x:c r="E68" s="20" t="n">
        <x:v>0.04</x:v>
      </x:c>
      <x:c r="F68" s="24" t="n">
        <x:f>(E68-D68)*10000</x:f>
        <x:v>-25.00000000000002</x:v>
      </x:c>
      <x:c r="G68" t="str">
        <x:f>IF(F68&gt;0,"加息",IF(F68&lt;0,"降息","暂停"))</x:f>
        <x:v>降息</x:v>
      </x:c>
      <x:c r="H68"/>
      <x:c r="I68" s="17" t="str">
        <x:f>IF(H68="","",INDEX('黄金价格'!$A$3:$A$1940,H68-2))</x:f>
      </x:c>
      <x:c r="J68" s="18" t="str">
        <x:f>IF(H68="","",INDEX('黄金价格'!$E$3:$E$1940,H68-2))</x:f>
      </x:c>
      <x:c r="K68" s="18" t="str">
        <x:f>IF(OR(H68="",H68-2+1&gt;1938),"",INDEX('黄金价格'!$E$3:$E$1940,H68-2+1))</x:f>
      </x:c>
      <x:c r="L68" s="25" t="str">
        <x:f>IF(K68="","",K68/J68-1)</x:f>
      </x:c>
      <x:c r="M68" s="18" t="str">
        <x:f>IF(OR(H68="",H68-2+3&gt;1938),"",INDEX('黄金价格'!$E$3:$E$1940,H68-2+3))</x:f>
      </x:c>
      <x:c r="N68" s="25" t="str">
        <x:f>IF(M68="","",M68/J68-1)</x:f>
      </x:c>
      <x:c r="O68" s="18" t="str">
        <x:f>IF(OR(H68="",H68-2+5&gt;1938),"",INDEX('黄金价格'!$E$3:$E$1940,H68-2+5))</x:f>
      </x:c>
      <x:c r="P68" s="25" t="str">
        <x:f>IF(O68="","",O68/J68-1)</x:f>
      </x:c>
      <x:c r="Q68" s="18" t="str">
        <x:f>IF(OR(H68="",H68-2+10&gt;1938),"",INDEX('黄金价格'!$E$3:$E$1940,H68-2+10))</x:f>
      </x:c>
      <x:c r="R68" s="25" t="str">
        <x:f>IF(Q68="","",Q68/J68-1)</x:f>
      </x:c>
      <x:c r="S68" s="18" t="str">
        <x:f>IF(OR(H68="",H68-2+20&gt;1938),"",INDEX('黄金价格'!$E$3:$E$1940,H68-2+20))</x:f>
      </x:c>
      <x:c r="T68" s="25" t="str">
        <x:f>IF(S68="","",S68/J68-1)</x:f>
      </x:c>
      <x:c r="U68" s="18" t="str">
        <x:f>IF(OR(H68="",H68-2+60&gt;1938),"",INDEX('黄金价格'!$E$3:$E$1940,H68-2+60))</x:f>
      </x:c>
      <x:c r="V68" s="25" t="str">
        <x:f>IF(U68="","",U68/J68-1)</x:f>
      </x:c>
      <x:c r="W68" t="str">
        <x:f>IF(P68="","数据不足",IF(P68&gt;1%,"上涨",IF(P68&lt;-1%,"下跌","震荡")))</x:f>
        <x:v>数据不足</x:v>
      </x:c>
      <x:c r="X68" t="str">
        <x:f>IF(T68="","数据不足",IF(T68&gt;1%,"上涨",IF(T68&lt;-1%,"下跌","震荡")))</x:f>
        <x:v>数据不足</x:v>
      </x:c>
      <x:c r="Y68" t="str">
        <x:f>IF(OR(W68="数据不足",X68="数据不足"),"数据不足",IF(W68=X68,W68,IF(AND(P68&gt;0,T68&gt;0),"先弱后强",IF(AND(P68&lt;0,T68&lt;0),"先强后弱","方向反转"))))</x:f>
        <x:v>数据不足</x:v>
      </x:c>
      <x:c r="Z68" t="str">
        <x:f>IF(H68="","无黄金数据",IF(V68="","窗口未满","完整"))</x:f>
        <x:v>无黄金数据</x:v>
      </x:c>
    </x:row>
    <x:row r="69">
      <x:c r="A69" t="n">
        <x:v>65</x:v>
      </x:c>
      <x:c r="B69" s="17" t="n">
        <x:v>46001</x:v>
      </x:c>
      <x:c r="C69" t="str">
        <x:v>例会</x:v>
      </x:c>
      <x:c r="D69" s="20" t="n">
        <x:v>0.04</x:v>
      </x:c>
      <x:c r="E69" s="20" t="n">
        <x:v>0.0375</x:v>
      </x:c>
      <x:c r="F69" s="24" t="n">
        <x:f>(E69-D69)*10000</x:f>
        <x:v>-25.00000000000002</x:v>
      </x:c>
      <x:c r="G69" t="str">
        <x:f>IF(F69&gt;0,"加息",IF(F69&lt;0,"降息","暂停"))</x:f>
        <x:v>降息</x:v>
      </x:c>
      <x:c r="H69"/>
      <x:c r="I69" s="17" t="str">
        <x:f>IF(H69="","",INDEX('黄金价格'!$A$3:$A$1940,H69-2))</x:f>
      </x:c>
      <x:c r="J69" s="18" t="str">
        <x:f>IF(H69="","",INDEX('黄金价格'!$E$3:$E$1940,H69-2))</x:f>
      </x:c>
      <x:c r="K69" s="18" t="str">
        <x:f>IF(OR(H69="",H69-2+1&gt;1938),"",INDEX('黄金价格'!$E$3:$E$1940,H69-2+1))</x:f>
      </x:c>
      <x:c r="L69" s="25" t="str">
        <x:f>IF(K69="","",K69/J69-1)</x:f>
      </x:c>
      <x:c r="M69" s="18" t="str">
        <x:f>IF(OR(H69="",H69-2+3&gt;1938),"",INDEX('黄金价格'!$E$3:$E$1940,H69-2+3))</x:f>
      </x:c>
      <x:c r="N69" s="25" t="str">
        <x:f>IF(M69="","",M69/J69-1)</x:f>
      </x:c>
      <x:c r="O69" s="18" t="str">
        <x:f>IF(OR(H69="",H69-2+5&gt;1938),"",INDEX('黄金价格'!$E$3:$E$1940,H69-2+5))</x:f>
      </x:c>
      <x:c r="P69" s="25" t="str">
        <x:f>IF(O69="","",O69/J69-1)</x:f>
      </x:c>
      <x:c r="Q69" s="18" t="str">
        <x:f>IF(OR(H69="",H69-2+10&gt;1938),"",INDEX('黄金价格'!$E$3:$E$1940,H69-2+10))</x:f>
      </x:c>
      <x:c r="R69" s="25" t="str">
        <x:f>IF(Q69="","",Q69/J69-1)</x:f>
      </x:c>
      <x:c r="S69" s="18" t="str">
        <x:f>IF(OR(H69="",H69-2+20&gt;1938),"",INDEX('黄金价格'!$E$3:$E$1940,H69-2+20))</x:f>
      </x:c>
      <x:c r="T69" s="25" t="str">
        <x:f>IF(S69="","",S69/J69-1)</x:f>
      </x:c>
      <x:c r="U69" s="18" t="str">
        <x:f>IF(OR(H69="",H69-2+60&gt;1938),"",INDEX('黄金价格'!$E$3:$E$1940,H69-2+60))</x:f>
      </x:c>
      <x:c r="V69" s="25" t="str">
        <x:f>IF(U69="","",U69/J69-1)</x:f>
      </x:c>
      <x:c r="W69" t="str">
        <x:f>IF(P69="","数据不足",IF(P69&gt;1%,"上涨",IF(P69&lt;-1%,"下跌","震荡")))</x:f>
        <x:v>数据不足</x:v>
      </x:c>
      <x:c r="X69" t="str">
        <x:f>IF(T69="","数据不足",IF(T69&gt;1%,"上涨",IF(T69&lt;-1%,"下跌","震荡")))</x:f>
        <x:v>数据不足</x:v>
      </x:c>
      <x:c r="Y69" t="str">
        <x:f>IF(OR(W69="数据不足",X69="数据不足"),"数据不足",IF(W69=X69,W69,IF(AND(P69&gt;0,T69&gt;0),"先弱后强",IF(AND(P69&lt;0,T69&lt;0),"先强后弱","方向反转"))))</x:f>
        <x:v>数据不足</x:v>
      </x:c>
      <x:c r="Z69" t="str">
        <x:f>IF(H69="","无黄金数据",IF(V69="","窗口未满","完整"))</x:f>
        <x:v>无黄金数据</x:v>
      </x:c>
    </x:row>
    <x:row r="70">
      <x:c r="A70" t="n">
        <x:v>66</x:v>
      </x:c>
      <x:c r="B70" s="17" t="n">
        <x:v>46050</x:v>
      </x:c>
      <x:c r="C70" t="str">
        <x:v>例会</x:v>
      </x:c>
      <x:c r="D70" s="20" t="n">
        <x:v>0.0375</x:v>
      </x:c>
      <x:c r="E70" s="20" t="n">
        <x:v>0.0375</x:v>
      </x:c>
      <x:c r="F70" s="24" t="n">
        <x:f>(E70-D70)*10000</x:f>
        <x:v>0</x:v>
      </x:c>
      <x:c r="G70" t="str">
        <x:f>IF(F70&gt;0,"加息",IF(F70&lt;0,"降息","暂停"))</x:f>
        <x:v>暂停</x:v>
      </x:c>
      <x:c r="H70"/>
      <x:c r="I70" s="17" t="str">
        <x:f>IF(H70="","",INDEX('黄金价格'!$A$3:$A$1940,H70-2))</x:f>
      </x:c>
      <x:c r="J70" s="18" t="str">
        <x:f>IF(H70="","",INDEX('黄金价格'!$E$3:$E$1940,H70-2))</x:f>
      </x:c>
      <x:c r="K70" s="18" t="str">
        <x:f>IF(OR(H70="",H70-2+1&gt;1938),"",INDEX('黄金价格'!$E$3:$E$1940,H70-2+1))</x:f>
      </x:c>
      <x:c r="L70" s="25" t="str">
        <x:f>IF(K70="","",K70/J70-1)</x:f>
      </x:c>
      <x:c r="M70" s="18" t="str">
        <x:f>IF(OR(H70="",H70-2+3&gt;1938),"",INDEX('黄金价格'!$E$3:$E$1940,H70-2+3))</x:f>
      </x:c>
      <x:c r="N70" s="25" t="str">
        <x:f>IF(M70="","",M70/J70-1)</x:f>
      </x:c>
      <x:c r="O70" s="18" t="str">
        <x:f>IF(OR(H70="",H70-2+5&gt;1938),"",INDEX('黄金价格'!$E$3:$E$1940,H70-2+5))</x:f>
      </x:c>
      <x:c r="P70" s="25" t="str">
        <x:f>IF(O70="","",O70/J70-1)</x:f>
      </x:c>
      <x:c r="Q70" s="18" t="str">
        <x:f>IF(OR(H70="",H70-2+10&gt;1938),"",INDEX('黄金价格'!$E$3:$E$1940,H70-2+10))</x:f>
      </x:c>
      <x:c r="R70" s="25" t="str">
        <x:f>IF(Q70="","",Q70/J70-1)</x:f>
      </x:c>
      <x:c r="S70" s="18" t="str">
        <x:f>IF(OR(H70="",H70-2+20&gt;1938),"",INDEX('黄金价格'!$E$3:$E$1940,H70-2+20))</x:f>
      </x:c>
      <x:c r="T70" s="25" t="str">
        <x:f>IF(S70="","",S70/J70-1)</x:f>
      </x:c>
      <x:c r="U70" s="18" t="str">
        <x:f>IF(OR(H70="",H70-2+60&gt;1938),"",INDEX('黄金价格'!$E$3:$E$1940,H70-2+60))</x:f>
      </x:c>
      <x:c r="V70" s="25" t="str">
        <x:f>IF(U70="","",U70/J70-1)</x:f>
      </x:c>
      <x:c r="W70" t="str">
        <x:f>IF(P70="","数据不足",IF(P70&gt;1%,"上涨",IF(P70&lt;-1%,"下跌","震荡")))</x:f>
        <x:v>数据不足</x:v>
      </x:c>
      <x:c r="X70" t="str">
        <x:f>IF(T70="","数据不足",IF(T70&gt;1%,"上涨",IF(T70&lt;-1%,"下跌","震荡")))</x:f>
        <x:v>数据不足</x:v>
      </x:c>
      <x:c r="Y70" t="str">
        <x:f>IF(OR(W70="数据不足",X70="数据不足"),"数据不足",IF(W70=X70,W70,IF(AND(P70&gt;0,T70&gt;0),"先弱后强",IF(AND(P70&lt;0,T70&lt;0),"先强后弱","方向反转"))))</x:f>
        <x:v>数据不足</x:v>
      </x:c>
      <x:c r="Z70" t="str">
        <x:f>IF(H70="","无黄金数据",IF(V70="","窗口未满","完整"))</x:f>
        <x:v>无黄金数据</x:v>
      </x:c>
    </x:row>
    <x:row r="71">
      <x:c r="A71" t="n">
        <x:v>67</x:v>
      </x:c>
      <x:c r="B71" s="17" t="n">
        <x:v>46099</x:v>
      </x:c>
      <x:c r="C71" t="str">
        <x:v>例会</x:v>
      </x:c>
      <x:c r="D71" s="20" t="n">
        <x:v>0.0375</x:v>
      </x:c>
      <x:c r="E71" s="20" t="n">
        <x:v>0.0375</x:v>
      </x:c>
      <x:c r="F71" s="24" t="n">
        <x:f>(E71-D71)*10000</x:f>
        <x:v>0</x:v>
      </x:c>
      <x:c r="G71" t="str">
        <x:f>IF(F71&gt;0,"加息",IF(F71&lt;0,"降息","暂停"))</x:f>
        <x:v>暂停</x:v>
      </x:c>
      <x:c r="H71"/>
      <x:c r="I71" s="17" t="str">
        <x:f>IF(H71="","",INDEX('黄金价格'!$A$3:$A$1940,H71-2))</x:f>
      </x:c>
      <x:c r="J71" s="18" t="str">
        <x:f>IF(H71="","",INDEX('黄金价格'!$E$3:$E$1940,H71-2))</x:f>
      </x:c>
      <x:c r="K71" s="18" t="str">
        <x:f>IF(OR(H71="",H71-2+1&gt;1938),"",INDEX('黄金价格'!$E$3:$E$1940,H71-2+1))</x:f>
      </x:c>
      <x:c r="L71" s="25" t="str">
        <x:f>IF(K71="","",K71/J71-1)</x:f>
      </x:c>
      <x:c r="M71" s="18" t="str">
        <x:f>IF(OR(H71="",H71-2+3&gt;1938),"",INDEX('黄金价格'!$E$3:$E$1940,H71-2+3))</x:f>
      </x:c>
      <x:c r="N71" s="25" t="str">
        <x:f>IF(M71="","",M71/J71-1)</x:f>
      </x:c>
      <x:c r="O71" s="18" t="str">
        <x:f>IF(OR(H71="",H71-2+5&gt;1938),"",INDEX('黄金价格'!$E$3:$E$1940,H71-2+5))</x:f>
      </x:c>
      <x:c r="P71" s="25" t="str">
        <x:f>IF(O71="","",O71/J71-1)</x:f>
      </x:c>
      <x:c r="Q71" s="18" t="str">
        <x:f>IF(OR(H71="",H71-2+10&gt;1938),"",INDEX('黄金价格'!$E$3:$E$1940,H71-2+10))</x:f>
      </x:c>
      <x:c r="R71" s="25" t="str">
        <x:f>IF(Q71="","",Q71/J71-1)</x:f>
      </x:c>
      <x:c r="S71" s="18" t="str">
        <x:f>IF(OR(H71="",H71-2+20&gt;1938),"",INDEX('黄金价格'!$E$3:$E$1940,H71-2+20))</x:f>
      </x:c>
      <x:c r="T71" s="25" t="str">
        <x:f>IF(S71="","",S71/J71-1)</x:f>
      </x:c>
      <x:c r="U71" s="18" t="str">
        <x:f>IF(OR(H71="",H71-2+60&gt;1938),"",INDEX('黄金价格'!$E$3:$E$1940,H71-2+60))</x:f>
      </x:c>
      <x:c r="V71" s="25" t="str">
        <x:f>IF(U71="","",U71/J71-1)</x:f>
      </x:c>
      <x:c r="W71" t="str">
        <x:f>IF(P71="","数据不足",IF(P71&gt;1%,"上涨",IF(P71&lt;-1%,"下跌","震荡")))</x:f>
        <x:v>数据不足</x:v>
      </x:c>
      <x:c r="X71" t="str">
        <x:f>IF(T71="","数据不足",IF(T71&gt;1%,"上涨",IF(T71&lt;-1%,"下跌","震荡")))</x:f>
        <x:v>数据不足</x:v>
      </x:c>
      <x:c r="Y71" t="str">
        <x:f>IF(OR(W71="数据不足",X71="数据不足"),"数据不足",IF(W71=X71,W71,IF(AND(P71&gt;0,T71&gt;0),"先弱后强",IF(AND(P71&lt;0,T71&lt;0),"先强后弱","方向反转"))))</x:f>
        <x:v>数据不足</x:v>
      </x:c>
      <x:c r="Z71" t="str">
        <x:f>IF(H71="","无黄金数据",IF(V71="","窗口未满","完整"))</x:f>
        <x:v>无黄金数据</x:v>
      </x:c>
    </x:row>
    <x:row r="72">
      <x:c r="A72" t="n">
        <x:v>68</x:v>
      </x:c>
      <x:c r="B72" s="17" t="n">
        <x:v>46141</x:v>
      </x:c>
      <x:c r="C72" t="str">
        <x:v>例会</x:v>
      </x:c>
      <x:c r="D72" s="20" t="n">
        <x:v>0.0375</x:v>
      </x:c>
      <x:c r="E72" s="20" t="n">
        <x:v>0.0375</x:v>
      </x:c>
      <x:c r="F72" s="24" t="n">
        <x:f>(E72-D72)*10000</x:f>
        <x:v>0</x:v>
      </x:c>
      <x:c r="G72" t="str">
        <x:f>IF(F72&gt;0,"加息",IF(F72&lt;0,"降息","暂停"))</x:f>
        <x:v>暂停</x:v>
      </x:c>
      <x:c r="H72"/>
      <x:c r="I72" s="17" t="str">
        <x:f>IF(H72="","",INDEX('黄金价格'!$A$3:$A$1940,H72-2))</x:f>
      </x:c>
      <x:c r="J72" s="18" t="str">
        <x:f>IF(H72="","",INDEX('黄金价格'!$E$3:$E$1940,H72-2))</x:f>
      </x:c>
      <x:c r="K72" s="18" t="str">
        <x:f>IF(OR(H72="",H72-2+1&gt;1938),"",INDEX('黄金价格'!$E$3:$E$1940,H72-2+1))</x:f>
      </x:c>
      <x:c r="L72" s="25" t="str">
        <x:f>IF(K72="","",K72/J72-1)</x:f>
      </x:c>
      <x:c r="M72" s="18" t="str">
        <x:f>IF(OR(H72="",H72-2+3&gt;1938),"",INDEX('黄金价格'!$E$3:$E$1940,H72-2+3))</x:f>
      </x:c>
      <x:c r="N72" s="25" t="str">
        <x:f>IF(M72="","",M72/J72-1)</x:f>
      </x:c>
      <x:c r="O72" s="18" t="str">
        <x:f>IF(OR(H72="",H72-2+5&gt;1938),"",INDEX('黄金价格'!$E$3:$E$1940,H72-2+5))</x:f>
      </x:c>
      <x:c r="P72" s="25" t="str">
        <x:f>IF(O72="","",O72/J72-1)</x:f>
      </x:c>
      <x:c r="Q72" s="18" t="str">
        <x:f>IF(OR(H72="",H72-2+10&gt;1938),"",INDEX('黄金价格'!$E$3:$E$1940,H72-2+10))</x:f>
      </x:c>
      <x:c r="R72" s="25" t="str">
        <x:f>IF(Q72="","",Q72/J72-1)</x:f>
      </x:c>
      <x:c r="S72" s="18" t="str">
        <x:f>IF(OR(H72="",H72-2+20&gt;1938),"",INDEX('黄金价格'!$E$3:$E$1940,H72-2+20))</x:f>
      </x:c>
      <x:c r="T72" s="25" t="str">
        <x:f>IF(S72="","",S72/J72-1)</x:f>
      </x:c>
      <x:c r="U72" s="18" t="str">
        <x:f>IF(OR(H72="",H72-2+60&gt;1938),"",INDEX('黄金价格'!$E$3:$E$1940,H72-2+60))</x:f>
      </x:c>
      <x:c r="V72" s="25" t="str">
        <x:f>IF(U72="","",U72/J72-1)</x:f>
      </x:c>
      <x:c r="W72" t="str">
        <x:f>IF(P72="","数据不足",IF(P72&gt;1%,"上涨",IF(P72&lt;-1%,"下跌","震荡")))</x:f>
        <x:v>数据不足</x:v>
      </x:c>
      <x:c r="X72" t="str">
        <x:f>IF(T72="","数据不足",IF(T72&gt;1%,"上涨",IF(T72&lt;-1%,"下跌","震荡")))</x:f>
        <x:v>数据不足</x:v>
      </x:c>
      <x:c r="Y72" t="str">
        <x:f>IF(OR(W72="数据不足",X72="数据不足"),"数据不足",IF(W72=X72,W72,IF(AND(P72&gt;0,T72&gt;0),"先弱后强",IF(AND(P72&lt;0,T72&lt;0),"先强后弱","方向反转"))))</x:f>
        <x:v>数据不足</x:v>
      </x:c>
      <x:c r="Z72" t="str">
        <x:f>IF(H72="","无黄金数据",IF(V72="","窗口未满","完整"))</x:f>
        <x:v>无黄金数据</x:v>
      </x:c>
    </x:row>
    <x:row r="73">
      <x:c r="A73" t="n">
        <x:v>69</x:v>
      </x:c>
      <x:c r="B73" s="17" t="n">
        <x:v>46190</x:v>
      </x:c>
      <x:c r="C73" t="str">
        <x:v>例会</x:v>
      </x:c>
      <x:c r="D73" s="20" t="n">
        <x:v>0.0375</x:v>
      </x:c>
      <x:c r="E73" s="20" t="n">
        <x:v>0.0375</x:v>
      </x:c>
      <x:c r="F73" s="24" t="n">
        <x:f>(E73-D73)*10000</x:f>
        <x:v>0</x:v>
      </x:c>
      <x:c r="G73" t="str">
        <x:f>IF(F73&gt;0,"加息",IF(F73&lt;0,"降息","暂停"))</x:f>
        <x:v>暂停</x:v>
      </x:c>
      <x:c r="H73"/>
      <x:c r="I73" s="17" t="str">
        <x:f>IF(H73="","",INDEX('黄金价格'!$A$3:$A$1940,H73-2))</x:f>
      </x:c>
      <x:c r="J73" s="18" t="str">
        <x:f>IF(H73="","",INDEX('黄金价格'!$E$3:$E$1940,H73-2))</x:f>
      </x:c>
      <x:c r="K73" s="18" t="str">
        <x:f>IF(OR(H73="",H73-2+1&gt;1938),"",INDEX('黄金价格'!$E$3:$E$1940,H73-2+1))</x:f>
      </x:c>
      <x:c r="L73" s="25" t="str">
        <x:f>IF(K73="","",K73/J73-1)</x:f>
      </x:c>
      <x:c r="M73" s="18" t="str">
        <x:f>IF(OR(H73="",H73-2+3&gt;1938),"",INDEX('黄金价格'!$E$3:$E$1940,H73-2+3))</x:f>
      </x:c>
      <x:c r="N73" s="25" t="str">
        <x:f>IF(M73="","",M73/J73-1)</x:f>
      </x:c>
      <x:c r="O73" s="18" t="str">
        <x:f>IF(OR(H73="",H73-2+5&gt;1938),"",INDEX('黄金价格'!$E$3:$E$1940,H73-2+5))</x:f>
      </x:c>
      <x:c r="P73" s="25" t="str">
        <x:f>IF(O73="","",O73/J73-1)</x:f>
      </x:c>
      <x:c r="Q73" s="18" t="str">
        <x:f>IF(OR(H73="",H73-2+10&gt;1938),"",INDEX('黄金价格'!$E$3:$E$1940,H73-2+10))</x:f>
      </x:c>
      <x:c r="R73" s="25" t="str">
        <x:f>IF(Q73="","",Q73/J73-1)</x:f>
      </x:c>
      <x:c r="S73" s="18" t="str">
        <x:f>IF(OR(H73="",H73-2+20&gt;1938),"",INDEX('黄金价格'!$E$3:$E$1940,H73-2+20))</x:f>
      </x:c>
      <x:c r="T73" s="25" t="str">
        <x:f>IF(S73="","",S73/J73-1)</x:f>
      </x:c>
      <x:c r="U73" s="18" t="str">
        <x:f>IF(OR(H73="",H73-2+60&gt;1938),"",INDEX('黄金价格'!$E$3:$E$1940,H73-2+60))</x:f>
      </x:c>
      <x:c r="V73" s="25" t="str">
        <x:f>IF(U73="","",U73/J73-1)</x:f>
      </x:c>
      <x:c r="W73" t="str">
        <x:f>IF(P73="","数据不足",IF(P73&gt;1%,"上涨",IF(P73&lt;-1%,"下跌","震荡")))</x:f>
        <x:v>数据不足</x:v>
      </x:c>
      <x:c r="X73" t="str">
        <x:f>IF(T73="","数据不足",IF(T73&gt;1%,"上涨",IF(T73&lt;-1%,"下跌","震荡")))</x:f>
        <x:v>数据不足</x:v>
      </x:c>
      <x:c r="Y73" t="str">
        <x:f>IF(OR(W73="数据不足",X73="数据不足"),"数据不足",IF(W73=X73,W73,IF(AND(P73&gt;0,T73&gt;0),"先弱后强",IF(AND(P73&lt;0,T73&lt;0),"先强后弱","方向反转"))))</x:f>
        <x:v>数据不足</x:v>
      </x:c>
      <x:c r="Z73" t="str">
        <x:f>IF(H73="","无黄金数据",IF(V73="","窗口未满","完整"))</x:f>
        <x:v>无黄金数据</x:v>
      </x:c>
    </x:row>
    <x:row r="74">
      <x:c r="A74" t="n">
        <x:v>70</x:v>
      </x:c>
      <x:c r="B74" s="17" t="n">
        <x:v>46232</x:v>
      </x:c>
      <x:c r="C74" t="str">
        <x:v>例会</x:v>
      </x:c>
      <x:c r="D74" s="20" t="n">
        <x:v>0.0375</x:v>
      </x:c>
      <x:c r="E74" s="20" t="n">
        <x:v>0.0375</x:v>
      </x:c>
      <x:c r="F74" s="24" t="n">
        <x:f>(E74-D74)*10000</x:f>
        <x:v>0</x:v>
      </x:c>
      <x:c r="G74" t="str">
        <x:f>IF(F74&gt;0,"加息",IF(F74&lt;0,"降息","暂停"))</x:f>
        <x:v>暂停</x:v>
      </x:c>
      <x:c r="H74"/>
      <x:c r="I74" s="17" t="str">
        <x:f>IF(H74="","",INDEX('黄金价格'!$A$3:$A$1940,H74-2))</x:f>
      </x:c>
      <x:c r="J74" s="18" t="str">
        <x:f>IF(H74="","",INDEX('黄金价格'!$E$3:$E$1940,H74-2))</x:f>
      </x:c>
      <x:c r="K74" s="18" t="str">
        <x:f>IF(OR(H74="",H74-2+1&gt;1938),"",INDEX('黄金价格'!$E$3:$E$1940,H74-2+1))</x:f>
      </x:c>
      <x:c r="L74" s="25" t="str">
        <x:f>IF(K74="","",K74/J74-1)</x:f>
      </x:c>
      <x:c r="M74" s="18" t="str">
        <x:f>IF(OR(H74="",H74-2+3&gt;1938),"",INDEX('黄金价格'!$E$3:$E$1940,H74-2+3))</x:f>
      </x:c>
      <x:c r="N74" s="25" t="str">
        <x:f>IF(M74="","",M74/J74-1)</x:f>
      </x:c>
      <x:c r="O74" s="18" t="str">
        <x:f>IF(OR(H74="",H74-2+5&gt;1938),"",INDEX('黄金价格'!$E$3:$E$1940,H74-2+5))</x:f>
      </x:c>
      <x:c r="P74" s="25" t="str">
        <x:f>IF(O74="","",O74/J74-1)</x:f>
      </x:c>
      <x:c r="Q74" s="18" t="str">
        <x:f>IF(OR(H74="",H74-2+10&gt;1938),"",INDEX('黄金价格'!$E$3:$E$1940,H74-2+10))</x:f>
      </x:c>
      <x:c r="R74" s="25" t="str">
        <x:f>IF(Q74="","",Q74/J74-1)</x:f>
      </x:c>
      <x:c r="S74" s="18" t="str">
        <x:f>IF(OR(H74="",H74-2+20&gt;1938),"",INDEX('黄金价格'!$E$3:$E$1940,H74-2+20))</x:f>
      </x:c>
      <x:c r="T74" s="25" t="str">
        <x:f>IF(S74="","",S74/J74-1)</x:f>
      </x:c>
      <x:c r="U74" s="18" t="str">
        <x:f>IF(OR(H74="",H74-2+60&gt;1938),"",INDEX('黄金价格'!$E$3:$E$1940,H74-2+60))</x:f>
      </x:c>
      <x:c r="V74" s="25" t="str">
        <x:f>IF(U74="","",U74/J74-1)</x:f>
      </x:c>
      <x:c r="W74" t="str">
        <x:f>IF(P74="","数据不足",IF(P74&gt;1%,"上涨",IF(P74&lt;-1%,"下跌","震荡")))</x:f>
        <x:v>数据不足</x:v>
      </x:c>
      <x:c r="X74" t="str">
        <x:f>IF(T74="","数据不足",IF(T74&gt;1%,"上涨",IF(T74&lt;-1%,"下跌","震荡")))</x:f>
        <x:v>数据不足</x:v>
      </x:c>
      <x:c r="Y74" t="str">
        <x:f>IF(OR(W74="数据不足",X74="数据不足"),"数据不足",IF(W74=X74,W74,IF(AND(P74&gt;0,T74&gt;0),"先弱后强",IF(AND(P74&lt;0,T74&lt;0),"先强后弱","方向反转"))))</x:f>
        <x:v>数据不足</x:v>
      </x:c>
      <x:c r="Z74" t="str">
        <x:f>IF(H74="","无黄金数据",IF(V74="","窗口未满","完整"))</x:f>
        <x:v>无黄金数据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3" t="str">
        <x:v>黄金现货日线（XAU/USD）</x:v>
      </x:c>
      <x:c r="B1" s="3"/>
      <x:c r="C1" s="3"/>
      <x:c r="D1" s="3"/>
      <x:c r="E1" s="3"/>
      <x:c r="F1" s="3"/>
    </x:row>
    <x:row r="2">
      <x:c r="A2" s="14" t="str">
        <x:v>日期</x:v>
      </x:c>
      <x:c r="B2" s="15" t="str">
        <x:v>开盘</x:v>
      </x:c>
      <x:c r="C2" s="15" t="str">
        <x:v>最高</x:v>
      </x:c>
      <x:c r="D2" s="15" t="str">
        <x:v>最低</x:v>
      </x:c>
      <x:c r="E2" s="15" t="str">
        <x:v>收盘</x:v>
      </x:c>
      <x:c r="F2" s="16" t="str">
        <x:v>成交量</x:v>
      </x:c>
    </x:row>
    <x:row r="3">
      <x:c r="A3" s="17" t="n">
        <x:v>43070</x:v>
      </x:c>
      <x:c r="B3" s="18" t="n">
        <x:v>1275.02</x:v>
      </x:c>
      <x:c r="C3" s="18" t="n">
        <x:v>1289.07</x:v>
      </x:c>
      <x:c r="D3" s="18" t="n">
        <x:v>1271.5</x:v>
      </x:c>
      <x:c r="E3" s="18" t="n">
        <x:v>1279.88</x:v>
      </x:c>
      <x:c r="F3" s="19" t="n">
        <x:v>220393</x:v>
      </x:c>
    </x:row>
    <x:row r="4">
      <x:c r="A4" s="17" t="n">
        <x:v>43073</x:v>
      </x:c>
      <x:c r="B4" s="18" t="n">
        <x:v>1273.95</x:v>
      </x:c>
      <x:c r="C4" s="18" t="n">
        <x:v>1277.02</x:v>
      </x:c>
      <x:c r="D4" s="18" t="n">
        <x:v>1270.89</x:v>
      </x:c>
      <x:c r="E4" s="18" t="n">
        <x:v>1275.94</x:v>
      </x:c>
      <x:c r="F4" s="19" t="n">
        <x:v>176081</x:v>
      </x:c>
    </x:row>
    <x:row r="5">
      <x:c r="A5" s="17" t="n">
        <x:v>43074</x:v>
      </x:c>
      <x:c r="B5" s="18" t="n">
        <x:v>1276.38</x:v>
      </x:c>
      <x:c r="C5" s="18" t="n">
        <x:v>1276.9</x:v>
      </x:c>
      <x:c r="D5" s="18" t="n">
        <x:v>1260.86</x:v>
      </x:c>
      <x:c r="E5" s="18" t="n">
        <x:v>1265.66</x:v>
      </x:c>
      <x:c r="F5" s="19" t="n">
        <x:v>172695</x:v>
      </x:c>
    </x:row>
    <x:row r="6">
      <x:c r="A6" s="17" t="n">
        <x:v>43075</x:v>
      </x:c>
      <x:c r="B6" s="18" t="n">
        <x:v>1265.99</x:v>
      </x:c>
      <x:c r="C6" s="18" t="n">
        <x:v>1269.13</x:v>
      </x:c>
      <x:c r="D6" s="18" t="n">
        <x:v>1262.43</x:v>
      </x:c>
      <x:c r="E6" s="18" t="n">
        <x:v>1263.12</x:v>
      </x:c>
      <x:c r="F6" s="19" t="n">
        <x:v>173237</x:v>
      </x:c>
    </x:row>
    <x:row r="7">
      <x:c r="A7" s="17" t="n">
        <x:v>43076</x:v>
      </x:c>
      <x:c r="B7" s="18" t="n">
        <x:v>1263.66</x:v>
      </x:c>
      <x:c r="C7" s="18" t="n">
        <x:v>1264.31</x:v>
      </x:c>
      <x:c r="D7" s="18" t="n">
        <x:v>1243.78</x:v>
      </x:c>
      <x:c r="E7" s="18" t="n">
        <x:v>1246.64</x:v>
      </x:c>
      <x:c r="F7" s="19" t="n">
        <x:v>167703</x:v>
      </x:c>
    </x:row>
    <x:row r="8">
      <x:c r="A8" s="17" t="n">
        <x:v>43077</x:v>
      </x:c>
      <x:c r="B8" s="18" t="n">
        <x:v>1247.58</x:v>
      </x:c>
      <x:c r="C8" s="18" t="n">
        <x:v>1252.23</x:v>
      </x:c>
      <x:c r="D8" s="18" t="n">
        <x:v>1243.6</x:v>
      </x:c>
      <x:c r="E8" s="18" t="n">
        <x:v>1248.04</x:v>
      </x:c>
      <x:c r="F8" s="19" t="n">
        <x:v>151920</x:v>
      </x:c>
    </x:row>
    <x:row r="9">
      <x:c r="A9" s="17" t="n">
        <x:v>43080</x:v>
      </x:c>
      <x:c r="B9" s="18" t="n">
        <x:v>1247.73</x:v>
      </x:c>
      <x:c r="C9" s="18" t="n">
        <x:v>1251.4</x:v>
      </x:c>
      <x:c r="D9" s="18" t="n">
        <x:v>1240.58</x:v>
      </x:c>
      <x:c r="E9" s="18" t="n">
        <x:v>1241.54</x:v>
      </x:c>
      <x:c r="F9" s="19" t="n">
        <x:v>127261</x:v>
      </x:c>
    </x:row>
    <x:row r="10">
      <x:c r="A10" s="17" t="n">
        <x:v>43081</x:v>
      </x:c>
      <x:c r="B10" s="18" t="n">
        <x:v>1242.1</x:v>
      </x:c>
      <x:c r="C10" s="18" t="n">
        <x:v>1246.09</x:v>
      </x:c>
      <x:c r="D10" s="18" t="n">
        <x:v>1236.37</x:v>
      </x:c>
      <x:c r="E10" s="18" t="n">
        <x:v>1243.77</x:v>
      </x:c>
      <x:c r="F10" s="19" t="n">
        <x:v>131161</x:v>
      </x:c>
    </x:row>
    <x:row r="11">
      <x:c r="A11" s="17" t="n">
        <x:v>43082</x:v>
      </x:c>
      <x:c r="B11" s="18" t="n">
        <x:v>1243.8</x:v>
      </x:c>
      <x:c r="C11" s="18" t="n">
        <x:v>1256.92</x:v>
      </x:c>
      <x:c r="D11" s="18" t="n">
        <x:v>1240.12</x:v>
      </x:c>
      <x:c r="E11" s="18" t="n">
        <x:v>1255.51</x:v>
      </x:c>
      <x:c r="F11" s="19" t="n">
        <x:v>153717</x:v>
      </x:c>
    </x:row>
    <x:row r="12">
      <x:c r="A12" s="17" t="n">
        <x:v>43083</x:v>
      </x:c>
      <x:c r="B12" s="18" t="n">
        <x:v>1254.01</x:v>
      </x:c>
      <x:c r="C12" s="18" t="n">
        <x:v>1258.95</x:v>
      </x:c>
      <x:c r="D12" s="18" t="n">
        <x:v>1250.35</x:v>
      </x:c>
      <x:c r="E12" s="18" t="n">
        <x:v>1252.5</x:v>
      </x:c>
      <x:c r="F12" s="19" t="n">
        <x:v>162244</x:v>
      </x:c>
    </x:row>
    <x:row r="13">
      <x:c r="A13" s="17" t="n">
        <x:v>43084</x:v>
      </x:c>
      <x:c r="B13" s="18" t="n">
        <x:v>1252.95</x:v>
      </x:c>
      <x:c r="C13" s="18" t="n">
        <x:v>1261.72</x:v>
      </x:c>
      <x:c r="D13" s="18" t="n">
        <x:v>1252.94</x:v>
      </x:c>
      <x:c r="E13" s="18" t="n">
        <x:v>1255.33</x:v>
      </x:c>
      <x:c r="F13" s="19" t="n">
        <x:v>144619</x:v>
      </x:c>
    </x:row>
    <x:row r="14">
      <x:c r="A14" s="17" t="n">
        <x:v>43087</x:v>
      </x:c>
      <x:c r="B14" s="18" t="n">
        <x:v>1254.14</x:v>
      </x:c>
      <x:c r="C14" s="18" t="n">
        <x:v>1263.83</x:v>
      </x:c>
      <x:c r="D14" s="18" t="n">
        <x:v>1252.62</x:v>
      </x:c>
      <x:c r="E14" s="18" t="n">
        <x:v>1261.62</x:v>
      </x:c>
      <x:c r="F14" s="19" t="n">
        <x:v>134640</x:v>
      </x:c>
    </x:row>
    <x:row r="15">
      <x:c r="A15" s="17" t="n">
        <x:v>43088</x:v>
      </x:c>
      <x:c r="B15" s="18" t="n">
        <x:v>1261.66</x:v>
      </x:c>
      <x:c r="C15" s="18" t="n">
        <x:v>1265.11</x:v>
      </x:c>
      <x:c r="D15" s="18" t="n">
        <x:v>1259.11</x:v>
      </x:c>
      <x:c r="E15" s="18" t="n">
        <x:v>1261.64</x:v>
      </x:c>
      <x:c r="F15" s="19" t="n">
        <x:v>126836</x:v>
      </x:c>
    </x:row>
    <x:row r="16">
      <x:c r="A16" s="17" t="n">
        <x:v>43089</x:v>
      </x:c>
      <x:c r="B16" s="18" t="n">
        <x:v>1261.44</x:v>
      </x:c>
      <x:c r="C16" s="18" t="n">
        <x:v>1267.7</x:v>
      </x:c>
      <x:c r="D16" s="18" t="n">
        <x:v>1261.25</x:v>
      </x:c>
      <x:c r="E16" s="18" t="n">
        <x:v>1265.37</x:v>
      </x:c>
      <x:c r="F16" s="19" t="n">
        <x:v>124844</x:v>
      </x:c>
    </x:row>
    <x:row r="17">
      <x:c r="A17" s="17" t="n">
        <x:v>43090</x:v>
      </x:c>
      <x:c r="B17" s="18" t="n">
        <x:v>1265.76</x:v>
      </x:c>
      <x:c r="C17" s="18" t="n">
        <x:v>1268.8</x:v>
      </x:c>
      <x:c r="D17" s="18" t="n">
        <x:v>1262.64</x:v>
      </x:c>
      <x:c r="E17" s="18" t="n">
        <x:v>1266.52</x:v>
      </x:c>
      <x:c r="F17" s="19" t="n">
        <x:v>115585</x:v>
      </x:c>
    </x:row>
    <x:row r="18">
      <x:c r="A18" s="17" t="n">
        <x:v>43091</x:v>
      </x:c>
      <x:c r="B18" s="18" t="n">
        <x:v>1266.21</x:v>
      </x:c>
      <x:c r="C18" s="18" t="n">
        <x:v>1276.02</x:v>
      </x:c>
      <x:c r="D18" s="18" t="n">
        <x:v>1264.84</x:v>
      </x:c>
      <x:c r="E18" s="18" t="n">
        <x:v>1275.28</x:v>
      </x:c>
      <x:c r="F18" s="19" t="n">
        <x:v>99995</x:v>
      </x:c>
    </x:row>
    <x:row r="19">
      <x:c r="A19" s="17" t="n">
        <x:v>43095</x:v>
      </x:c>
      <x:c r="B19" s="18" t="n">
        <x:v>1278.14</x:v>
      </x:c>
      <x:c r="C19" s="18" t="n">
        <x:v>1283.58</x:v>
      </x:c>
      <x:c r="D19" s="18" t="n">
        <x:v>1276.92</x:v>
      </x:c>
      <x:c r="E19" s="18" t="n">
        <x:v>1283.08</x:v>
      </x:c>
      <x:c r="F19" s="19" t="n">
        <x:v>55849</x:v>
      </x:c>
    </x:row>
    <x:row r="20">
      <x:c r="A20" s="17" t="n">
        <x:v>43096</x:v>
      </x:c>
      <x:c r="B20" s="18" t="n">
        <x:v>1282.27</x:v>
      </x:c>
      <x:c r="C20" s="18" t="n">
        <x:v>1288.8</x:v>
      </x:c>
      <x:c r="D20" s="18" t="n">
        <x:v>1281.22</x:v>
      </x:c>
      <x:c r="E20" s="18" t="n">
        <x:v>1287.01</x:v>
      </x:c>
      <x:c r="F20" s="19" t="n">
        <x:v>109205</x:v>
      </x:c>
    </x:row>
    <x:row r="21">
      <x:c r="A21" s="17" t="n">
        <x:v>43097</x:v>
      </x:c>
      <x:c r="B21" s="18" t="n">
        <x:v>1287.32</x:v>
      </x:c>
      <x:c r="C21" s="18" t="n">
        <x:v>1295.07</x:v>
      </x:c>
      <x:c r="D21" s="18" t="n">
        <x:v>1286.59</x:v>
      </x:c>
      <x:c r="E21" s="18" t="n">
        <x:v>1294.86</x:v>
      </x:c>
      <x:c r="F21" s="19" t="n">
        <x:v>104846</x:v>
      </x:c>
    </x:row>
    <x:row r="22">
      <x:c r="A22" s="17" t="n">
        <x:v>43098</x:v>
      </x:c>
      <x:c r="B22" s="18" t="n">
        <x:v>1294.06</x:v>
      </x:c>
      <x:c r="C22" s="18" t="n">
        <x:v>1307.41</x:v>
      </x:c>
      <x:c r="D22" s="18" t="n">
        <x:v>1293.73</x:v>
      </x:c>
      <x:c r="E22" s="18" t="n">
        <x:v>1302.33</x:v>
      </x:c>
      <x:c r="F22" s="19" t="n">
        <x:v>109777</x:v>
      </x:c>
    </x:row>
    <x:row r="23">
      <x:c r="A23" s="17" t="n">
        <x:v>43102</x:v>
      </x:c>
      <x:c r="B23" s="18" t="n">
        <x:v>1309.81</x:v>
      </x:c>
      <x:c r="C23" s="18" t="n">
        <x:v>1318.8</x:v>
      </x:c>
      <x:c r="D23" s="18" t="n">
        <x:v>1308.4</x:v>
      </x:c>
      <x:c r="E23" s="18" t="n">
        <x:v>1317.82</x:v>
      </x:c>
      <x:c r="F23" s="19" t="n">
        <x:v>102695</x:v>
      </x:c>
    </x:row>
    <x:row r="24">
      <x:c r="A24" s="17" t="n">
        <x:v>43103</x:v>
      </x:c>
      <x:c r="B24" s="18" t="n">
        <x:v>1317.27</x:v>
      </x:c>
      <x:c r="C24" s="18" t="n">
        <x:v>1321.24</x:v>
      </x:c>
      <x:c r="D24" s="18" t="n">
        <x:v>1307.31</x:v>
      </x:c>
      <x:c r="E24" s="18" t="n">
        <x:v>1312.78</x:v>
      </x:c>
      <x:c r="F24" s="19" t="n">
        <x:v>142284</x:v>
      </x:c>
    </x:row>
    <x:row r="25">
      <x:c r="A25" s="17" t="n">
        <x:v>43104</x:v>
      </x:c>
      <x:c r="B25" s="18" t="n">
        <x:v>1312.74</x:v>
      </x:c>
      <x:c r="C25" s="18" t="n">
        <x:v>1325.84</x:v>
      </x:c>
      <x:c r="D25" s="18" t="n">
        <x:v>1305.7</x:v>
      </x:c>
      <x:c r="E25" s="18" t="n">
        <x:v>1322.69</x:v>
      </x:c>
      <x:c r="F25" s="19" t="n">
        <x:v>151996</x:v>
      </x:c>
    </x:row>
    <x:row r="26">
      <x:c r="A26" s="17" t="n">
        <x:v>43105</x:v>
      </x:c>
      <x:c r="B26" s="18" t="n">
        <x:v>1321.96</x:v>
      </x:c>
      <x:c r="C26" s="18" t="n">
        <x:v>1323.26</x:v>
      </x:c>
      <x:c r="D26" s="18" t="n">
        <x:v>1313.55</x:v>
      </x:c>
      <x:c r="E26" s="18" t="n">
        <x:v>1319.9</x:v>
      </x:c>
      <x:c r="F26" s="19" t="n">
        <x:v>136053</x:v>
      </x:c>
    </x:row>
    <x:row r="27">
      <x:c r="A27" s="17" t="n">
        <x:v>43108</x:v>
      </x:c>
      <x:c r="B27" s="18" t="n">
        <x:v>1320.69</x:v>
      </x:c>
      <x:c r="C27" s="18" t="n">
        <x:v>1322</x:v>
      </x:c>
      <x:c r="D27" s="18" t="n">
        <x:v>1314.65</x:v>
      </x:c>
      <x:c r="E27" s="18" t="n">
        <x:v>1320.27</x:v>
      </x:c>
      <x:c r="F27" s="19" t="n">
        <x:v>112389</x:v>
      </x:c>
    </x:row>
    <x:row r="28">
      <x:c r="A28" s="17" t="n">
        <x:v>43109</x:v>
      </x:c>
      <x:c r="B28" s="18" t="n">
        <x:v>1319.49</x:v>
      </x:c>
      <x:c r="C28" s="18" t="n">
        <x:v>1320.04</x:v>
      </x:c>
      <x:c r="D28" s="18" t="n">
        <x:v>1308.26</x:v>
      </x:c>
      <x:c r="E28" s="18" t="n">
        <x:v>1312.61</x:v>
      </x:c>
      <x:c r="F28" s="19" t="n">
        <x:v>145871</x:v>
      </x:c>
    </x:row>
    <x:row r="29">
      <x:c r="A29" s="17" t="n">
        <x:v>43110</x:v>
      </x:c>
      <x:c r="B29" s="18" t="n">
        <x:v>1311.82</x:v>
      </x:c>
      <x:c r="C29" s="18" t="n">
        <x:v>1327.6</x:v>
      </x:c>
      <x:c r="D29" s="18" t="n">
        <x:v>1307.96</x:v>
      </x:c>
      <x:c r="E29" s="18" t="n">
        <x:v>1316.59</x:v>
      </x:c>
      <x:c r="F29" s="19" t="n">
        <x:v>189476</x:v>
      </x:c>
    </x:row>
    <x:row r="30">
      <x:c r="A30" s="17" t="n">
        <x:v>43111</x:v>
      </x:c>
      <x:c r="B30" s="18" t="n">
        <x:v>1317.13</x:v>
      </x:c>
      <x:c r="C30" s="18" t="n">
        <x:v>1323.79</x:v>
      </x:c>
      <x:c r="D30" s="18" t="n">
        <x:v>1315.58</x:v>
      </x:c>
      <x:c r="E30" s="18" t="n">
        <x:v>1322.34</x:v>
      </x:c>
      <x:c r="F30" s="19" t="n">
        <x:v>160080</x:v>
      </x:c>
    </x:row>
    <x:row r="31">
      <x:c r="A31" s="17" t="n">
        <x:v>43112</x:v>
      </x:c>
      <x:c r="B31" s="18" t="n">
        <x:v>1322.35</x:v>
      </x:c>
      <x:c r="C31" s="18" t="n">
        <x:v>1339.21</x:v>
      </x:c>
      <x:c r="D31" s="18" t="n">
        <x:v>1321.62</x:v>
      </x:c>
      <x:c r="E31" s="18" t="n">
        <x:v>1338.17</x:v>
      </x:c>
      <x:c r="F31" s="19" t="n">
        <x:v>178622</x:v>
      </x:c>
    </x:row>
    <x:row r="32">
      <x:c r="A32" s="17" t="n">
        <x:v>43115</x:v>
      </x:c>
      <x:c r="B32" s="18" t="n">
        <x:v>1336.05</x:v>
      </x:c>
      <x:c r="C32" s="18" t="n">
        <x:v>1344.6</x:v>
      </x:c>
      <x:c r="D32" s="18" t="n">
        <x:v>1335.92</x:v>
      </x:c>
      <x:c r="E32" s="18" t="n">
        <x:v>1339.93</x:v>
      </x:c>
      <x:c r="F32" s="19" t="n">
        <x:v>114118</x:v>
      </x:c>
    </x:row>
    <x:row r="33">
      <x:c r="A33" s="17" t="n">
        <x:v>43116</x:v>
      </x:c>
      <x:c r="B33" s="18" t="n">
        <x:v>1339.42</x:v>
      </x:c>
      <x:c r="C33" s="18" t="n">
        <x:v>1342.13</x:v>
      </x:c>
      <x:c r="D33" s="18" t="n">
        <x:v>1331.66</x:v>
      </x:c>
      <x:c r="E33" s="18" t="n">
        <x:v>1338.37</x:v>
      </x:c>
      <x:c r="F33" s="19" t="n">
        <x:v>172948</x:v>
      </x:c>
    </x:row>
    <x:row r="34">
      <x:c r="A34" s="17" t="n">
        <x:v>43117</x:v>
      </x:c>
      <x:c r="B34" s="18" t="n">
        <x:v>1339.2</x:v>
      </x:c>
      <x:c r="C34" s="18" t="n">
        <x:v>1343.82</x:v>
      </x:c>
      <x:c r="D34" s="18" t="n">
        <x:v>1326.28</x:v>
      </x:c>
      <x:c r="E34" s="18" t="n">
        <x:v>1326.61</x:v>
      </x:c>
      <x:c r="F34" s="19" t="n">
        <x:v>201740</x:v>
      </x:c>
    </x:row>
    <x:row r="35">
      <x:c r="A35" s="17" t="n">
        <x:v>43118</x:v>
      </x:c>
      <x:c r="B35" s="18" t="n">
        <x:v>1327.51</x:v>
      </x:c>
      <x:c r="C35" s="18" t="n">
        <x:v>1332.96</x:v>
      </x:c>
      <x:c r="D35" s="18" t="n">
        <x:v>1324.14</x:v>
      </x:c>
      <x:c r="E35" s="18" t="n">
        <x:v>1327.04</x:v>
      </x:c>
      <x:c r="F35" s="19" t="n">
        <x:v>183343</x:v>
      </x:c>
    </x:row>
    <x:row r="36">
      <x:c r="A36" s="17" t="n">
        <x:v>43119</x:v>
      </x:c>
      <x:c r="B36" s="18" t="n">
        <x:v>1327.54</x:v>
      </x:c>
      <x:c r="C36" s="18" t="n">
        <x:v>1337.86</x:v>
      </x:c>
      <x:c r="D36" s="18" t="n">
        <x:v>1326.66</x:v>
      </x:c>
      <x:c r="E36" s="18" t="n">
        <x:v>1331.43</x:v>
      </x:c>
      <x:c r="F36" s="19" t="n">
        <x:v>174190</x:v>
      </x:c>
    </x:row>
    <x:row r="37">
      <x:c r="A37" s="17" t="n">
        <x:v>43122</x:v>
      </x:c>
      <x:c r="B37" s="18" t="n">
        <x:v>1335.05</x:v>
      </x:c>
      <x:c r="C37" s="18" t="n">
        <x:v>1335.44</x:v>
      </x:c>
      <x:c r="D37" s="18" t="n">
        <x:v>1328.27</x:v>
      </x:c>
      <x:c r="E37" s="18" t="n">
        <x:v>1333.87</x:v>
      </x:c>
      <x:c r="F37" s="19" t="n">
        <x:v>142730</x:v>
      </x:c>
    </x:row>
    <x:row r="38">
      <x:c r="A38" s="17" t="n">
        <x:v>43123</x:v>
      </x:c>
      <x:c r="B38" s="18" t="n">
        <x:v>1333.4</x:v>
      </x:c>
      <x:c r="C38" s="18" t="n">
        <x:v>1341.64</x:v>
      </x:c>
      <x:c r="D38" s="18" t="n">
        <x:v>1331.24</x:v>
      </x:c>
      <x:c r="E38" s="18" t="n">
        <x:v>1341.11</x:v>
      </x:c>
      <x:c r="F38" s="19" t="n">
        <x:v>167286</x:v>
      </x:c>
    </x:row>
    <x:row r="39">
      <x:c r="A39" s="17" t="n">
        <x:v>43124</x:v>
      </x:c>
      <x:c r="B39" s="18" t="n">
        <x:v>1340.92</x:v>
      </x:c>
      <x:c r="C39" s="18" t="n">
        <x:v>1362.02</x:v>
      </x:c>
      <x:c r="D39" s="18" t="n">
        <x:v>1339.42</x:v>
      </x:c>
      <x:c r="E39" s="18" t="n">
        <x:v>1357.97</x:v>
      </x:c>
      <x:c r="F39" s="19" t="n">
        <x:v>196575</x:v>
      </x:c>
    </x:row>
    <x:row r="40">
      <x:c r="A40" s="17" t="n">
        <x:v>43125</x:v>
      </x:c>
      <x:c r="B40" s="18" t="n">
        <x:v>1357.25</x:v>
      </x:c>
      <x:c r="C40" s="18" t="n">
        <x:v>1365.92</x:v>
      </x:c>
      <x:c r="D40" s="18" t="n">
        <x:v>1342.33</x:v>
      </x:c>
      <x:c r="E40" s="18" t="n">
        <x:v>1348.22</x:v>
      </x:c>
      <x:c r="F40" s="19" t="n">
        <x:v>245829</x:v>
      </x:c>
    </x:row>
    <x:row r="41">
      <x:c r="A41" s="17" t="n">
        <x:v>43126</x:v>
      </x:c>
      <x:c r="B41" s="18" t="n">
        <x:v>1347</x:v>
      </x:c>
      <x:c r="C41" s="18" t="n">
        <x:v>1356.96</x:v>
      </x:c>
      <x:c r="D41" s="18" t="n">
        <x:v>1344.46</x:v>
      </x:c>
      <x:c r="E41" s="18" t="n">
        <x:v>1350</x:v>
      </x:c>
      <x:c r="F41" s="19" t="n">
        <x:v>215417</x:v>
      </x:c>
    </x:row>
    <x:row r="42">
      <x:c r="A42" s="17" t="n">
        <x:v>43129</x:v>
      </x:c>
      <x:c r="B42" s="18" t="n">
        <x:v>1351.03</x:v>
      </x:c>
      <x:c r="C42" s="18" t="n">
        <x:v>1352.39</x:v>
      </x:c>
      <x:c r="D42" s="18" t="n">
        <x:v>1337.57</x:v>
      </x:c>
      <x:c r="E42" s="18" t="n">
        <x:v>1340.32</x:v>
      </x:c>
      <x:c r="F42" s="19" t="n">
        <x:v>177086</x:v>
      </x:c>
    </x:row>
    <x:row r="43">
      <x:c r="A43" s="17" t="n">
        <x:v>43130</x:v>
      </x:c>
      <x:c r="B43" s="18" t="n">
        <x:v>1341.3</x:v>
      </x:c>
      <x:c r="C43" s="18" t="n">
        <x:v>1348.9</x:v>
      </x:c>
      <x:c r="D43" s="18" t="n">
        <x:v>1334.44</x:v>
      </x:c>
      <x:c r="E43" s="18" t="n">
        <x:v>1338.59</x:v>
      </x:c>
      <x:c r="F43" s="19" t="n">
        <x:v>207275</x:v>
      </x:c>
    </x:row>
    <x:row r="44">
      <x:c r="A44" s="17" t="n">
        <x:v>43131</x:v>
      </x:c>
      <x:c r="B44" s="18" t="n">
        <x:v>1337.42</x:v>
      </x:c>
      <x:c r="C44" s="18" t="n">
        <x:v>1347.57</x:v>
      </x:c>
      <x:c r="D44" s="18" t="n">
        <x:v>1332.75</x:v>
      </x:c>
      <x:c r="E44" s="18" t="n">
        <x:v>1344.94</x:v>
      </x:c>
      <x:c r="F44" s="19" t="n">
        <x:v>214777</x:v>
      </x:c>
    </x:row>
    <x:row r="45">
      <x:c r="A45" s="17" t="n">
        <x:v>43132</x:v>
      </x:c>
      <x:c r="B45" s="18" t="n">
        <x:v>1343.39</x:v>
      </x:c>
      <x:c r="C45" s="18" t="n">
        <x:v>1350.97</x:v>
      </x:c>
      <x:c r="D45" s="18" t="n">
        <x:v>1337.24</x:v>
      </x:c>
      <x:c r="E45" s="18" t="n">
        <x:v>1348.39</x:v>
      </x:c>
      <x:c r="F45" s="19" t="n">
        <x:v>211212</x:v>
      </x:c>
    </x:row>
    <x:row r="46">
      <x:c r="A46" s="17" t="n">
        <x:v>43133</x:v>
      </x:c>
      <x:c r="B46" s="18" t="n">
        <x:v>1347.81</x:v>
      </x:c>
      <x:c r="C46" s="18" t="n">
        <x:v>1350.06</x:v>
      </x:c>
      <x:c r="D46" s="18" t="n">
        <x:v>1327.43</x:v>
      </x:c>
      <x:c r="E46" s="18" t="n">
        <x:v>1332.57</x:v>
      </x:c>
      <x:c r="F46" s="19" t="n">
        <x:v>233006</x:v>
      </x:c>
    </x:row>
    <x:row r="47">
      <x:c r="A47" s="17" t="n">
        <x:v>43136</x:v>
      </x:c>
      <x:c r="B47" s="18" t="n">
        <x:v>1331.64</x:v>
      </x:c>
      <x:c r="C47" s="18" t="n">
        <x:v>1341.59</x:v>
      </x:c>
      <x:c r="D47" s="18" t="n">
        <x:v>1328.99</x:v>
      </x:c>
      <x:c r="E47" s="18" t="n">
        <x:v>1339.56</x:v>
      </x:c>
      <x:c r="F47" s="19" t="n">
        <x:v>249575</x:v>
      </x:c>
    </x:row>
    <x:row r="48">
      <x:c r="A48" s="17" t="n">
        <x:v>43137</x:v>
      </x:c>
      <x:c r="B48" s="18" t="n">
        <x:v>1338.91</x:v>
      </x:c>
      <x:c r="C48" s="18" t="n">
        <x:v>1346.08</x:v>
      </x:c>
      <x:c r="D48" s="18" t="n">
        <x:v>1320.18</x:v>
      </x:c>
      <x:c r="E48" s="18" t="n">
        <x:v>1324.4</x:v>
      </x:c>
      <x:c r="F48" s="19" t="n">
        <x:v>352486</x:v>
      </x:c>
    </x:row>
    <x:row r="49">
      <x:c r="A49" s="17" t="n">
        <x:v>43138</x:v>
      </x:c>
      <x:c r="B49" s="18" t="n">
        <x:v>1324.64</x:v>
      </x:c>
      <x:c r="C49" s="18" t="n">
        <x:v>1332.3</x:v>
      </x:c>
      <x:c r="D49" s="18" t="n">
        <x:v>1311.38</x:v>
      </x:c>
      <x:c r="E49" s="18" t="n">
        <x:v>1318.29</x:v>
      </x:c>
      <x:c r="F49" s="19" t="n">
        <x:v>259360</x:v>
      </x:c>
    </x:row>
    <x:row r="50">
      <x:c r="A50" s="17" t="n">
        <x:v>43139</x:v>
      </x:c>
      <x:c r="B50" s="18" t="n">
        <x:v>1317.34</x:v>
      </x:c>
      <x:c r="C50" s="18" t="n">
        <x:v>1322.02</x:v>
      </x:c>
      <x:c r="D50" s="18" t="n">
        <x:v>1307.04</x:v>
      </x:c>
      <x:c r="E50" s="18" t="n">
        <x:v>1318.34</x:v>
      </x:c>
      <x:c r="F50" s="19" t="n">
        <x:v>286441</x:v>
      </x:c>
    </x:row>
    <x:row r="51">
      <x:c r="A51" s="17" t="n">
        <x:v>43140</x:v>
      </x:c>
      <x:c r="B51" s="18" t="n">
        <x:v>1319.11</x:v>
      </x:c>
      <x:c r="C51" s="18" t="n">
        <x:v>1322.63</x:v>
      </x:c>
      <x:c r="D51" s="18" t="n">
        <x:v>1311.12</x:v>
      </x:c>
      <x:c r="E51" s="18" t="n">
        <x:v>1315.64</x:v>
      </x:c>
      <x:c r="F51" s="19" t="n">
        <x:v>294243</x:v>
      </x:c>
    </x:row>
    <x:row r="52">
      <x:c r="A52" s="17" t="n">
        <x:v>43143</x:v>
      </x:c>
      <x:c r="B52" s="18" t="n">
        <x:v>1315.38</x:v>
      </x:c>
      <x:c r="C52" s="18" t="n">
        <x:v>1326.69</x:v>
      </x:c>
      <x:c r="D52" s="18" t="n">
        <x:v>1315.13</x:v>
      </x:c>
      <x:c r="E52" s="18" t="n">
        <x:v>1322.86</x:v>
      </x:c>
      <x:c r="F52" s="19" t="n">
        <x:v>145037</x:v>
      </x:c>
    </x:row>
    <x:row r="53">
      <x:c r="A53" s="17" t="n">
        <x:v>43144</x:v>
      </x:c>
      <x:c r="B53" s="18" t="n">
        <x:v>1323.63</x:v>
      </x:c>
      <x:c r="C53" s="18" t="n">
        <x:v>1331.02</x:v>
      </x:c>
      <x:c r="D53" s="18" t="n">
        <x:v>1321.59</x:v>
      </x:c>
      <x:c r="E53" s="18" t="n">
        <x:v>1328.99</x:v>
      </x:c>
      <x:c r="F53" s="19" t="n">
        <x:v>156092</x:v>
      </x:c>
    </x:row>
    <x:row r="54">
      <x:c r="A54" s="17" t="n">
        <x:v>43145</x:v>
      </x:c>
      <x:c r="B54" s="18" t="n">
        <x:v>1329.72</x:v>
      </x:c>
      <x:c r="C54" s="18" t="n">
        <x:v>1355.5</x:v>
      </x:c>
      <x:c r="D54" s="18" t="n">
        <x:v>1317.3</x:v>
      </x:c>
      <x:c r="E54" s="18" t="n">
        <x:v>1350.14</x:v>
      </x:c>
      <x:c r="F54" s="19" t="n">
        <x:v>193377</x:v>
      </x:c>
    </x:row>
    <x:row r="55">
      <x:c r="A55" s="17" t="n">
        <x:v>43146</x:v>
      </x:c>
      <x:c r="B55" s="18" t="n">
        <x:v>1350.64</x:v>
      </x:c>
      <x:c r="C55" s="18" t="n">
        <x:v>1357.07</x:v>
      </x:c>
      <x:c r="D55" s="18" t="n">
        <x:v>1348.53</x:v>
      </x:c>
      <x:c r="E55" s="18" t="n">
        <x:v>1353.07</x:v>
      </x:c>
      <x:c r="F55" s="19" t="n">
        <x:v>175472</x:v>
      </x:c>
    </x:row>
    <x:row r="56">
      <x:c r="A56" s="17" t="n">
        <x:v>43147</x:v>
      </x:c>
      <x:c r="B56" s="18" t="n">
        <x:v>1353.79</x:v>
      </x:c>
      <x:c r="C56" s="18" t="n">
        <x:v>1361.69</x:v>
      </x:c>
      <x:c r="D56" s="18" t="n">
        <x:v>1344.71</x:v>
      </x:c>
      <x:c r="E56" s="18" t="n">
        <x:v>1347.43</x:v>
      </x:c>
      <x:c r="F56" s="19" t="n">
        <x:v>166978</x:v>
      </x:c>
    </x:row>
    <x:row r="57">
      <x:c r="A57" s="17" t="n">
        <x:v>43150</x:v>
      </x:c>
      <x:c r="B57" s="18" t="n">
        <x:v>1349.69</x:v>
      </x:c>
      <x:c r="C57" s="18" t="n">
        <x:v>1351.34</x:v>
      </x:c>
      <x:c r="D57" s="18" t="n">
        <x:v>1345.78</x:v>
      </x:c>
      <x:c r="E57" s="18" t="n">
        <x:v>1346.6</x:v>
      </x:c>
      <x:c r="F57" s="19" t="n">
        <x:v>87111</x:v>
      </x:c>
    </x:row>
    <x:row r="58">
      <x:c r="A58" s="17" t="n">
        <x:v>43151</x:v>
      </x:c>
      <x:c r="B58" s="18" t="n">
        <x:v>1347.9</x:v>
      </x:c>
      <x:c r="C58" s="18" t="n">
        <x:v>1348.09</x:v>
      </x:c>
      <x:c r="D58" s="18" t="n">
        <x:v>1328.44</x:v>
      </x:c>
      <x:c r="E58" s="18" t="n">
        <x:v>1329.33</x:v>
      </x:c>
      <x:c r="F58" s="19" t="n">
        <x:v>141385</x:v>
      </x:c>
    </x:row>
    <x:row r="59">
      <x:c r="A59" s="17" t="n">
        <x:v>43152</x:v>
      </x:c>
      <x:c r="B59" s="18" t="n">
        <x:v>1329.49</x:v>
      </x:c>
      <x:c r="C59" s="18" t="n">
        <x:v>1336.22</x:v>
      </x:c>
      <x:c r="D59" s="18" t="n">
        <x:v>1322.14</x:v>
      </x:c>
      <x:c r="E59" s="18" t="n">
        <x:v>1324.37</x:v>
      </x:c>
      <x:c r="F59" s="19" t="n">
        <x:v>158486</x:v>
      </x:c>
    </x:row>
    <x:row r="60">
      <x:c r="A60" s="17" t="n">
        <x:v>43153</x:v>
      </x:c>
      <x:c r="B60" s="18" t="n">
        <x:v>1324.39</x:v>
      </x:c>
      <x:c r="C60" s="18" t="n">
        <x:v>1332.07</x:v>
      </x:c>
      <x:c r="D60" s="18" t="n">
        <x:v>1320.93</x:v>
      </x:c>
      <x:c r="E60" s="18" t="n">
        <x:v>1331.85</x:v>
      </x:c>
      <x:c r="F60" s="19" t="n">
        <x:v>148392</x:v>
      </x:c>
    </x:row>
    <x:row r="61">
      <x:c r="A61" s="17" t="n">
        <x:v>43154</x:v>
      </x:c>
      <x:c r="B61" s="18" t="n">
        <x:v>1331.78</x:v>
      </x:c>
      <x:c r="C61" s="18" t="n">
        <x:v>1332.13</x:v>
      </x:c>
      <x:c r="D61" s="18" t="n">
        <x:v>1325.78</x:v>
      </x:c>
      <x:c r="E61" s="18" t="n">
        <x:v>1328.78</x:v>
      </x:c>
      <x:c r="F61" s="19" t="n">
        <x:v>120542</x:v>
      </x:c>
    </x:row>
    <x:row r="62">
      <x:c r="A62" s="17" t="n">
        <x:v>43157</x:v>
      </x:c>
      <x:c r="B62" s="18" t="n">
        <x:v>1329.83</x:v>
      </x:c>
      <x:c r="C62" s="18" t="n">
        <x:v>1341</x:v>
      </x:c>
      <x:c r="D62" s="18" t="n">
        <x:v>1326.65</x:v>
      </x:c>
      <x:c r="E62" s="18" t="n">
        <x:v>1332.93</x:v>
      </x:c>
      <x:c r="F62" s="19" t="n">
        <x:v>137233</x:v>
      </x:c>
    </x:row>
    <x:row r="63">
      <x:c r="A63" s="17" t="n">
        <x:v>43158</x:v>
      </x:c>
      <x:c r="B63" s="18" t="n">
        <x:v>1333.3</x:v>
      </x:c>
      <x:c r="C63" s="18" t="n">
        <x:v>1336.7</x:v>
      </x:c>
      <x:c r="D63" s="18" t="n">
        <x:v>1313.41</x:v>
      </x:c>
      <x:c r="E63" s="18" t="n">
        <x:v>1318.29</x:v>
      </x:c>
      <x:c r="F63" s="19" t="n">
        <x:v>156960</x:v>
      </x:c>
    </x:row>
    <x:row r="64">
      <x:c r="A64" s="17" t="n">
        <x:v>43159</x:v>
      </x:c>
      <x:c r="B64" s="18" t="n">
        <x:v>1318.39</x:v>
      </x:c>
      <x:c r="C64" s="18" t="n">
        <x:v>1322.49</x:v>
      </x:c>
      <x:c r="D64" s="18" t="n">
        <x:v>1315.59</x:v>
      </x:c>
      <x:c r="E64" s="18" t="n">
        <x:v>1318.08</x:v>
      </x:c>
      <x:c r="F64" s="19" t="n">
        <x:v>143439</x:v>
      </x:c>
    </x:row>
    <x:row r="65">
      <x:c r="A65" s="17" t="n">
        <x:v>43160</x:v>
      </x:c>
      <x:c r="B65" s="18" t="n">
        <x:v>1319.02</x:v>
      </x:c>
      <x:c r="C65" s="18" t="n">
        <x:v>1321.07</x:v>
      </x:c>
      <x:c r="D65" s="18" t="n">
        <x:v>1302.76</x:v>
      </x:c>
      <x:c r="E65" s="18" t="n">
        <x:v>1317.16</x:v>
      </x:c>
      <x:c r="F65" s="19" t="n">
        <x:v>191255</x:v>
      </x:c>
    </x:row>
    <x:row r="66">
      <x:c r="A66" s="17" t="n">
        <x:v>43161</x:v>
      </x:c>
      <x:c r="B66" s="18" t="n">
        <x:v>1316.47</x:v>
      </x:c>
      <x:c r="C66" s="18" t="n">
        <x:v>1325.42</x:v>
      </x:c>
      <x:c r="D66" s="18" t="n">
        <x:v>1315.2</x:v>
      </x:c>
      <x:c r="E66" s="18" t="n">
        <x:v>1322.12</x:v>
      </x:c>
      <x:c r="F66" s="19" t="n">
        <x:v>162142</x:v>
      </x:c>
    </x:row>
    <x:row r="67">
      <x:c r="A67" s="17" t="n">
        <x:v>43164</x:v>
      </x:c>
      <x:c r="B67" s="18" t="n">
        <x:v>1323.71</x:v>
      </x:c>
      <x:c r="C67" s="18" t="n">
        <x:v>1327.73</x:v>
      </x:c>
      <x:c r="D67" s="18" t="n">
        <x:v>1317.53</x:v>
      </x:c>
      <x:c r="E67" s="18" t="n">
        <x:v>1319.88</x:v>
      </x:c>
      <x:c r="F67" s="19" t="n">
        <x:v>175261</x:v>
      </x:c>
    </x:row>
    <x:row r="68">
      <x:c r="A68" s="17" t="n">
        <x:v>43165</x:v>
      </x:c>
      <x:c r="B68" s="18" t="n">
        <x:v>1320.55</x:v>
      </x:c>
      <x:c r="C68" s="18" t="n">
        <x:v>1338.46</x:v>
      </x:c>
      <x:c r="D68" s="18" t="n">
        <x:v>1320.21</x:v>
      </x:c>
      <x:c r="E68" s="18" t="n">
        <x:v>1334.3</x:v>
      </x:c>
      <x:c r="F68" s="19" t="n">
        <x:v>187973</x:v>
      </x:c>
    </x:row>
    <x:row r="69">
      <x:c r="A69" s="17" t="n">
        <x:v>43166</x:v>
      </x:c>
      <x:c r="B69" s="18" t="n">
        <x:v>1339.55</x:v>
      </x:c>
      <x:c r="C69" s="18" t="n">
        <x:v>1340.37</x:v>
      </x:c>
      <x:c r="D69" s="18" t="n">
        <x:v>1322.2</x:v>
      </x:c>
      <x:c r="E69" s="18" t="n">
        <x:v>1325.35</x:v>
      </x:c>
      <x:c r="F69" s="19" t="n">
        <x:v>206644</x:v>
      </x:c>
    </x:row>
    <x:row r="70">
      <x:c r="A70" s="17" t="n">
        <x:v>43167</x:v>
      </x:c>
      <x:c r="B70" s="18" t="n">
        <x:v>1325.64</x:v>
      </x:c>
      <x:c r="C70" s="18" t="n">
        <x:v>1329</x:v>
      </x:c>
      <x:c r="D70" s="18" t="n">
        <x:v>1318.87</x:v>
      </x:c>
      <x:c r="E70" s="18" t="n">
        <x:v>1322.14</x:v>
      </x:c>
      <x:c r="F70" s="19" t="n">
        <x:v>183041</x:v>
      </x:c>
    </x:row>
    <x:row r="71">
      <x:c r="A71" s="17" t="n">
        <x:v>43168</x:v>
      </x:c>
      <x:c r="B71" s="18" t="n">
        <x:v>1321.32</x:v>
      </x:c>
      <x:c r="C71" s="18" t="n">
        <x:v>1325.14</x:v>
      </x:c>
      <x:c r="D71" s="18" t="n">
        <x:v>1312.83</x:v>
      </x:c>
      <x:c r="E71" s="18" t="n">
        <x:v>1323.36</x:v>
      </x:c>
      <x:c r="F71" s="19" t="n">
        <x:v>181330</x:v>
      </x:c>
    </x:row>
    <x:row r="72">
      <x:c r="A72" s="17" t="n">
        <x:v>43171</x:v>
      </x:c>
      <x:c r="B72" s="18" t="n">
        <x:v>1322.86</x:v>
      </x:c>
      <x:c r="C72" s="18" t="n">
        <x:v>1324.13</x:v>
      </x:c>
      <x:c r="D72" s="18" t="n">
        <x:v>1315.04</x:v>
      </x:c>
      <x:c r="E72" s="18" t="n">
        <x:v>1322.7</x:v>
      </x:c>
      <x:c r="F72" s="19" t="n">
        <x:v>117427</x:v>
      </x:c>
    </x:row>
    <x:row r="73">
      <x:c r="A73" s="17" t="n">
        <x:v>43172</x:v>
      </x:c>
      <x:c r="B73" s="18" t="n">
        <x:v>1323.54</x:v>
      </x:c>
      <x:c r="C73" s="18" t="n">
        <x:v>1328.28</x:v>
      </x:c>
      <x:c r="D73" s="18" t="n">
        <x:v>1313.73</x:v>
      </x:c>
      <x:c r="E73" s="18" t="n">
        <x:v>1326.31</x:v>
      </x:c>
      <x:c r="F73" s="19" t="n">
        <x:v>152139</x:v>
      </x:c>
    </x:row>
    <x:row r="74">
      <x:c r="A74" s="17" t="n">
        <x:v>43173</x:v>
      </x:c>
      <x:c r="B74" s="18" t="n">
        <x:v>1325.85</x:v>
      </x:c>
      <x:c r="C74" s="18" t="n">
        <x:v>1330.01</x:v>
      </x:c>
      <x:c r="D74" s="18" t="n">
        <x:v>1321.46</x:v>
      </x:c>
      <x:c r="E74" s="18" t="n">
        <x:v>1324.74</x:v>
      </x:c>
      <x:c r="F74" s="19" t="n">
        <x:v>143936</x:v>
      </x:c>
    </x:row>
    <x:row r="75">
      <x:c r="A75" s="17" t="n">
        <x:v>43174</x:v>
      </x:c>
      <x:c r="B75" s="18" t="n">
        <x:v>1323.8</x:v>
      </x:c>
      <x:c r="C75" s="18" t="n">
        <x:v>1327.88</x:v>
      </x:c>
      <x:c r="D75" s="18" t="n">
        <x:v>1314.93</x:v>
      </x:c>
      <x:c r="E75" s="18" t="n">
        <x:v>1316.44</x:v>
      </x:c>
      <x:c r="F75" s="19" t="n">
        <x:v>131712</x:v>
      </x:c>
    </x:row>
    <x:row r="76">
      <x:c r="A76" s="17" t="n">
        <x:v>43175</x:v>
      </x:c>
      <x:c r="B76" s="18" t="n">
        <x:v>1315.92</x:v>
      </x:c>
      <x:c r="C76" s="18" t="n">
        <x:v>1321.72</x:v>
      </x:c>
      <x:c r="D76" s="18" t="n">
        <x:v>1309.6</x:v>
      </x:c>
      <x:c r="E76" s="18" t="n">
        <x:v>1313.47</x:v>
      </x:c>
      <x:c r="F76" s="19" t="n">
        <x:v>122528</x:v>
      </x:c>
    </x:row>
    <x:row r="77">
      <x:c r="A77" s="17" t="n">
        <x:v>43178</x:v>
      </x:c>
      <x:c r="B77" s="18" t="n">
        <x:v>1313.14</x:v>
      </x:c>
      <x:c r="C77" s="18" t="n">
        <x:v>1319.58</x:v>
      </x:c>
      <x:c r="D77" s="18" t="n">
        <x:v>1307.76</x:v>
      </x:c>
      <x:c r="E77" s="18" t="n">
        <x:v>1317.02</x:v>
      </x:c>
      <x:c r="F77" s="19" t="n">
        <x:v>128966</x:v>
      </x:c>
    </x:row>
    <x:row r="78">
      <x:c r="A78" s="17" t="n">
        <x:v>43179</x:v>
      </x:c>
      <x:c r="B78" s="18" t="n">
        <x:v>1317.3</x:v>
      </x:c>
      <x:c r="C78" s="18" t="n">
        <x:v>1318.24</x:v>
      </x:c>
      <x:c r="D78" s="18" t="n">
        <x:v>1307.17</x:v>
      </x:c>
      <x:c r="E78" s="18" t="n">
        <x:v>1311.06</x:v>
      </x:c>
      <x:c r="F78" s="19" t="n">
        <x:v>120402</x:v>
      </x:c>
    </x:row>
    <x:row r="79">
      <x:c r="A79" s="17" t="n">
        <x:v>43180</x:v>
      </x:c>
      <x:c r="B79" s="18" t="n">
        <x:v>1311.54</x:v>
      </x:c>
      <x:c r="C79" s="18" t="n">
        <x:v>1336.6</x:v>
      </x:c>
      <x:c r="D79" s="18" t="n">
        <x:v>1309.79</x:v>
      </x:c>
      <x:c r="E79" s="18" t="n">
        <x:v>1331.8</x:v>
      </x:c>
      <x:c r="F79" s="19" t="n">
        <x:v>146322</x:v>
      </x:c>
    </x:row>
    <x:row r="80">
      <x:c r="A80" s="17" t="n">
        <x:v>43181</x:v>
      </x:c>
      <x:c r="B80" s="18" t="n">
        <x:v>1331.83</x:v>
      </x:c>
      <x:c r="C80" s="18" t="n">
        <x:v>1334.86</x:v>
      </x:c>
      <x:c r="D80" s="18" t="n">
        <x:v>1324.77</x:v>
      </x:c>
      <x:c r="E80" s="18" t="n">
        <x:v>1328.61</x:v>
      </x:c>
      <x:c r="F80" s="19" t="n">
        <x:v>167242</x:v>
      </x:c>
    </x:row>
    <x:row r="81">
      <x:c r="A81" s="17" t="n">
        <x:v>43182</x:v>
      </x:c>
      <x:c r="B81" s="18" t="n">
        <x:v>1330.61</x:v>
      </x:c>
      <x:c r="C81" s="18" t="n">
        <x:v>1350.2</x:v>
      </x:c>
      <x:c r="D81" s="18" t="n">
        <x:v>1330.61</x:v>
      </x:c>
      <x:c r="E81" s="18" t="n">
        <x:v>1347.51</x:v>
      </x:c>
      <x:c r="F81" s="19" t="n">
        <x:v>174572</x:v>
      </x:c>
    </x:row>
    <x:row r="82">
      <x:c r="A82" s="17" t="n">
        <x:v>43185</x:v>
      </x:c>
      <x:c r="B82" s="18" t="n">
        <x:v>1348.15</x:v>
      </x:c>
      <x:c r="C82" s="18" t="n">
        <x:v>1355.87</x:v>
      </x:c>
      <x:c r="D82" s="18" t="n">
        <x:v>1343.46</x:v>
      </x:c>
      <x:c r="E82" s="18" t="n">
        <x:v>1353.44</x:v>
      </x:c>
      <x:c r="F82" s="19" t="n">
        <x:v>136353</x:v>
      </x:c>
    </x:row>
    <x:row r="83">
      <x:c r="A83" s="17" t="n">
        <x:v>43186</x:v>
      </x:c>
      <x:c r="B83" s="18" t="n">
        <x:v>1352.9</x:v>
      </x:c>
      <x:c r="C83" s="18" t="n">
        <x:v>1356.84</x:v>
      </x:c>
      <x:c r="D83" s="18" t="n">
        <x:v>1339.84</x:v>
      </x:c>
      <x:c r="E83" s="18" t="n">
        <x:v>1344.59</x:v>
      </x:c>
      <x:c r="F83" s="19" t="n">
        <x:v>143930</x:v>
      </x:c>
    </x:row>
    <x:row r="84">
      <x:c r="A84" s="17" t="n">
        <x:v>43187</x:v>
      </x:c>
      <x:c r="B84" s="18" t="n">
        <x:v>1345.61</x:v>
      </x:c>
      <x:c r="C84" s="18" t="n">
        <x:v>1346.99</x:v>
      </x:c>
      <x:c r="D84" s="18" t="n">
        <x:v>1323.44</x:v>
      </x:c>
      <x:c r="E84" s="18" t="n">
        <x:v>1324.83</x:v>
      </x:c>
      <x:c r="F84" s="19" t="n">
        <x:v>175573</x:v>
      </x:c>
    </x:row>
    <x:row r="85">
      <x:c r="A85" s="17" t="n">
        <x:v>43188</x:v>
      </x:c>
      <x:c r="B85" s="18" t="n">
        <x:v>1324.36</x:v>
      </x:c>
      <x:c r="C85" s="18" t="n">
        <x:v>1328.3</x:v>
      </x:c>
      <x:c r="D85" s="18" t="n">
        <x:v>1321.21</x:v>
      </x:c>
      <x:c r="E85" s="18" t="n">
        <x:v>1325.04</x:v>
      </x:c>
      <x:c r="F85" s="19" t="n">
        <x:v>144155</x:v>
      </x:c>
    </x:row>
    <x:row r="86">
      <x:c r="A86" s="17" t="n">
        <x:v>43192</x:v>
      </x:c>
      <x:c r="B86" s="18" t="n">
        <x:v>1325.8</x:v>
      </x:c>
      <x:c r="C86" s="18" t="n">
        <x:v>1344.84</x:v>
      </x:c>
      <x:c r="D86" s="18" t="n">
        <x:v>1324.81</x:v>
      </x:c>
      <x:c r="E86" s="18" t="n">
        <x:v>1341.04</x:v>
      </x:c>
      <x:c r="F86" s="19" t="n">
        <x:v>139842</x:v>
      </x:c>
    </x:row>
    <x:row r="87">
      <x:c r="A87" s="17" t="n">
        <x:v>43193</x:v>
      </x:c>
      <x:c r="B87" s="18" t="n">
        <x:v>1340.61</x:v>
      </x:c>
      <x:c r="C87" s="18" t="n">
        <x:v>1342.45</x:v>
      </x:c>
      <x:c r="D87" s="18" t="n">
        <x:v>1328.88</x:v>
      </x:c>
      <x:c r="E87" s="18" t="n">
        <x:v>1332.54</x:v>
      </x:c>
      <x:c r="F87" s="19" t="n">
        <x:v>162340</x:v>
      </x:c>
    </x:row>
    <x:row r="88">
      <x:c r="A88" s="17" t="n">
        <x:v>43194</x:v>
      </x:c>
      <x:c r="B88" s="18" t="n">
        <x:v>1332.58</x:v>
      </x:c>
      <x:c r="C88" s="18" t="n">
        <x:v>1348.22</x:v>
      </x:c>
      <x:c r="D88" s="18" t="n">
        <x:v>1331.49</x:v>
      </x:c>
      <x:c r="E88" s="18" t="n">
        <x:v>1333.24</x:v>
      </x:c>
      <x:c r="F88" s="19" t="n">
        <x:v>177158</x:v>
      </x:c>
    </x:row>
    <x:row r="89">
      <x:c r="A89" s="17" t="n">
        <x:v>43195</x:v>
      </x:c>
      <x:c r="B89" s="18" t="n">
        <x:v>1333.1</x:v>
      </x:c>
      <x:c r="C89" s="18" t="n">
        <x:v>1334.85</x:v>
      </x:c>
      <x:c r="D89" s="18" t="n">
        <x:v>1322.72</x:v>
      </x:c>
      <x:c r="E89" s="18" t="n">
        <x:v>1326.37</x:v>
      </x:c>
      <x:c r="F89" s="19" t="n">
        <x:v>144548</x:v>
      </x:c>
    </x:row>
    <x:row r="90">
      <x:c r="A90" s="17" t="n">
        <x:v>43196</x:v>
      </x:c>
      <x:c r="B90" s="18" t="n">
        <x:v>1327.25</x:v>
      </x:c>
      <x:c r="C90" s="18" t="n">
        <x:v>1335.42</x:v>
      </x:c>
      <x:c r="D90" s="18" t="n">
        <x:v>1319.5</x:v>
      </x:c>
      <x:c r="E90" s="18" t="n">
        <x:v>1332.69</x:v>
      </x:c>
      <x:c r="F90" s="19" t="n">
        <x:v>191028</x:v>
      </x:c>
    </x:row>
    <x:row r="91">
      <x:c r="A91" s="17" t="n">
        <x:v>43199</x:v>
      </x:c>
      <x:c r="B91" s="18" t="n">
        <x:v>1333.49</x:v>
      </x:c>
      <x:c r="C91" s="18" t="n">
        <x:v>1337.95</x:v>
      </x:c>
      <x:c r="D91" s="18" t="n">
        <x:v>1326.85</x:v>
      </x:c>
      <x:c r="E91" s="18" t="n">
        <x:v>1336.06</x:v>
      </x:c>
      <x:c r="F91" s="19" t="n">
        <x:v>152343</x:v>
      </x:c>
    </x:row>
    <x:row r="92">
      <x:c r="A92" s="17" t="n">
        <x:v>43200</x:v>
      </x:c>
      <x:c r="B92" s="18" t="n">
        <x:v>1336.61</x:v>
      </x:c>
      <x:c r="C92" s="18" t="n">
        <x:v>1342.53</x:v>
      </x:c>
      <x:c r="D92" s="18" t="n">
        <x:v>1331.06</x:v>
      </x:c>
      <x:c r="E92" s="18" t="n">
        <x:v>1339.08</x:v>
      </x:c>
      <x:c r="F92" s="19" t="n">
        <x:v>167225</x:v>
      </x:c>
    </x:row>
    <x:row r="93">
      <x:c r="A93" s="17" t="n">
        <x:v>43201</x:v>
      </x:c>
      <x:c r="B93" s="18" t="n">
        <x:v>1339.54</x:v>
      </x:c>
      <x:c r="C93" s="18" t="n">
        <x:v>1365.2</x:v>
      </x:c>
      <x:c r="D93" s="18" t="n">
        <x:v>1339.49</x:v>
      </x:c>
      <x:c r="E93" s="18" t="n">
        <x:v>1353.08</x:v>
      </x:c>
      <x:c r="F93" s="19" t="n">
        <x:v>184524</x:v>
      </x:c>
    </x:row>
    <x:row r="94">
      <x:c r="A94" s="17" t="n">
        <x:v>43202</x:v>
      </x:c>
      <x:c r="B94" s="18" t="n">
        <x:v>1352.57</x:v>
      </x:c>
      <x:c r="C94" s="18" t="n">
        <x:v>1353.15</x:v>
      </x:c>
      <x:c r="D94" s="18" t="n">
        <x:v>1333.71</x:v>
      </x:c>
      <x:c r="E94" s="18" t="n">
        <x:v>1334.87</x:v>
      </x:c>
      <x:c r="F94" s="19" t="n">
        <x:v>179163</x:v>
      </x:c>
    </x:row>
    <x:row r="95">
      <x:c r="A95" s="17" t="n">
        <x:v>43203</x:v>
      </x:c>
      <x:c r="B95" s="18" t="n">
        <x:v>1335.54</x:v>
      </x:c>
      <x:c r="C95" s="18" t="n">
        <x:v>1347.1</x:v>
      </x:c>
      <x:c r="D95" s="18" t="n">
        <x:v>1333.05</x:v>
      </x:c>
      <x:c r="E95" s="18" t="n">
        <x:v>1345.07</x:v>
      </x:c>
      <x:c r="F95" s="19" t="n">
        <x:v>155453</x:v>
      </x:c>
    </x:row>
    <x:row r="96">
      <x:c r="A96" s="17" t="n">
        <x:v>43206</x:v>
      </x:c>
      <x:c r="B96" s="18" t="n">
        <x:v>1342.69</x:v>
      </x:c>
      <x:c r="C96" s="18" t="n">
        <x:v>1350.48</x:v>
      </x:c>
      <x:c r="D96" s="18" t="n">
        <x:v>1340.11</x:v>
      </x:c>
      <x:c r="E96" s="18" t="n">
        <x:v>1345.59</x:v>
      </x:c>
      <x:c r="F96" s="19" t="n">
        <x:v>141294</x:v>
      </x:c>
    </x:row>
    <x:row r="97">
      <x:c r="A97" s="17" t="n">
        <x:v>43207</x:v>
      </x:c>
      <x:c r="B97" s="18" t="n">
        <x:v>1345.89</x:v>
      </x:c>
      <x:c r="C97" s="18" t="n">
        <x:v>1349.36</x:v>
      </x:c>
      <x:c r="D97" s="18" t="n">
        <x:v>1337.65</x:v>
      </x:c>
      <x:c r="E97" s="18" t="n">
        <x:v>1347.17</x:v>
      </x:c>
      <x:c r="F97" s="19" t="n">
        <x:v>141914</x:v>
      </x:c>
    </x:row>
    <x:row r="98">
      <x:c r="A98" s="17" t="n">
        <x:v>43208</x:v>
      </x:c>
      <x:c r="B98" s="18" t="n">
        <x:v>1347.12</x:v>
      </x:c>
      <x:c r="C98" s="18" t="n">
        <x:v>1355.67</x:v>
      </x:c>
      <x:c r="D98" s="18" t="n">
        <x:v>1342.27</x:v>
      </x:c>
      <x:c r="E98" s="18" t="n">
        <x:v>1349.21</x:v>
      </x:c>
      <x:c r="F98" s="19" t="n">
        <x:v>148657</x:v>
      </x:c>
    </x:row>
    <x:row r="99">
      <x:c r="A99" s="17" t="n">
        <x:v>43209</x:v>
      </x:c>
      <x:c r="B99" s="18" t="n">
        <x:v>1349.17</x:v>
      </x:c>
      <x:c r="C99" s="18" t="n">
        <x:v>1354.65</x:v>
      </x:c>
      <x:c r="D99" s="18" t="n">
        <x:v>1340.93</x:v>
      </x:c>
      <x:c r="E99" s="18" t="n">
        <x:v>1345.7</x:v>
      </x:c>
      <x:c r="F99" s="19" t="n">
        <x:v>167626</x:v>
      </x:c>
    </x:row>
    <x:row r="100">
      <x:c r="A100" s="17" t="n">
        <x:v>43210</x:v>
      </x:c>
      <x:c r="B100" s="18" t="n">
        <x:v>1345.68</x:v>
      </x:c>
      <x:c r="C100" s="18" t="n">
        <x:v>1346.15</x:v>
      </x:c>
      <x:c r="D100" s="18" t="n">
        <x:v>1334.94</x:v>
      </x:c>
      <x:c r="E100" s="18" t="n">
        <x:v>1335.44</x:v>
      </x:c>
      <x:c r="F100" s="19" t="n">
        <x:v>137528</x:v>
      </x:c>
    </x:row>
    <x:row r="101">
      <x:c r="A101" s="17" t="n">
        <x:v>43213</x:v>
      </x:c>
      <x:c r="B101" s="18" t="n">
        <x:v>1334.69</x:v>
      </x:c>
      <x:c r="C101" s="18" t="n">
        <x:v>1335.43</x:v>
      </x:c>
      <x:c r="D101" s="18" t="n">
        <x:v>1322.11</x:v>
      </x:c>
      <x:c r="E101" s="18" t="n">
        <x:v>1324.76</x:v>
      </x:c>
      <x:c r="F101" s="19" t="n">
        <x:v>142291</x:v>
      </x:c>
    </x:row>
    <x:row r="102">
      <x:c r="A102" s="17" t="n">
        <x:v>43214</x:v>
      </x:c>
      <x:c r="B102" s="18" t="n">
        <x:v>1324.78</x:v>
      </x:c>
      <x:c r="C102" s="18" t="n">
        <x:v>1332.64</x:v>
      </x:c>
      <x:c r="D102" s="18" t="n">
        <x:v>1322.11</x:v>
      </x:c>
      <x:c r="E102" s="18" t="n">
        <x:v>1330.77</x:v>
      </x:c>
      <x:c r="F102" s="19" t="n">
        <x:v>150220</x:v>
      </x:c>
    </x:row>
    <x:row r="103">
      <x:c r="A103" s="17" t="n">
        <x:v>43215</x:v>
      </x:c>
      <x:c r="B103" s="18" t="n">
        <x:v>1330.06</x:v>
      </x:c>
      <x:c r="C103" s="18" t="n">
        <x:v>1332.03</x:v>
      </x:c>
      <x:c r="D103" s="18" t="n">
        <x:v>1318.76</x:v>
      </x:c>
      <x:c r="E103" s="18" t="n">
        <x:v>1322.88</x:v>
      </x:c>
      <x:c r="F103" s="19" t="n">
        <x:v>132330</x:v>
      </x:c>
    </x:row>
    <x:row r="104">
      <x:c r="A104" s="17" t="n">
        <x:v>43216</x:v>
      </x:c>
      <x:c r="B104" s="18" t="n">
        <x:v>1322.09</x:v>
      </x:c>
      <x:c r="C104" s="18" t="n">
        <x:v>1326.57</x:v>
      </x:c>
      <x:c r="D104" s="18" t="n">
        <x:v>1315.26</x:v>
      </x:c>
      <x:c r="E104" s="18" t="n">
        <x:v>1317.01</x:v>
      </x:c>
      <x:c r="F104" s="19" t="n">
        <x:v>137840</x:v>
      </x:c>
    </x:row>
    <x:row r="105">
      <x:c r="A105" s="17" t="n">
        <x:v>43217</x:v>
      </x:c>
      <x:c r="B105" s="18" t="n">
        <x:v>1317.36</x:v>
      </x:c>
      <x:c r="C105" s="18" t="n">
        <x:v>1325.19</x:v>
      </x:c>
      <x:c r="D105" s="18" t="n">
        <x:v>1315.37</x:v>
      </x:c>
      <x:c r="E105" s="18" t="n">
        <x:v>1322.91</x:v>
      </x:c>
      <x:c r="F105" s="19" t="n">
        <x:v>124453</x:v>
      </x:c>
    </x:row>
    <x:row r="106">
      <x:c r="A106" s="17" t="n">
        <x:v>43220</x:v>
      </x:c>
      <x:c r="B106" s="18" t="n">
        <x:v>1322.78</x:v>
      </x:c>
      <x:c r="C106" s="18" t="n">
        <x:v>1324.88</x:v>
      </x:c>
      <x:c r="D106" s="18" t="n">
        <x:v>1310.18</x:v>
      </x:c>
      <x:c r="E106" s="18" t="n">
        <x:v>1314.98</x:v>
      </x:c>
      <x:c r="F106" s="19" t="n">
        <x:v>119509</x:v>
      </x:c>
    </x:row>
    <x:row r="107">
      <x:c r="A107" s="17" t="n">
        <x:v>43221</x:v>
      </x:c>
      <x:c r="B107" s="18" t="n">
        <x:v>1316.11</x:v>
      </x:c>
      <x:c r="C107" s="18" t="n">
        <x:v>1316.32</x:v>
      </x:c>
      <x:c r="D107" s="18" t="n">
        <x:v>1301.74</x:v>
      </x:c>
      <x:c r="E107" s="18" t="n">
        <x:v>1304</x:v>
      </x:c>
      <x:c r="F107" s="19" t="n">
        <x:v>121515</x:v>
      </x:c>
    </x:row>
    <x:row r="108">
      <x:c r="A108" s="17" t="n">
        <x:v>43222</x:v>
      </x:c>
      <x:c r="B108" s="18" t="n">
        <x:v>1304.61</x:v>
      </x:c>
      <x:c r="C108" s="18" t="n">
        <x:v>1313.43</x:v>
      </x:c>
      <x:c r="D108" s="18" t="n">
        <x:v>1303.88</x:v>
      </x:c>
      <x:c r="E108" s="18" t="n">
        <x:v>1304.92</x:v>
      </x:c>
      <x:c r="F108" s="19" t="n">
        <x:v>164714</x:v>
      </x:c>
    </x:row>
    <x:row r="109">
      <x:c r="A109" s="17" t="n">
        <x:v>43223</x:v>
      </x:c>
      <x:c r="B109" s="18" t="n">
        <x:v>1305.61</x:v>
      </x:c>
      <x:c r="C109" s="18" t="n">
        <x:v>1318.06</x:v>
      </x:c>
      <x:c r="D109" s="18" t="n">
        <x:v>1305.39</x:v>
      </x:c>
      <x:c r="E109" s="18" t="n">
        <x:v>1312.19</x:v>
      </x:c>
      <x:c r="F109" s="19" t="n">
        <x:v>161484</x:v>
      </x:c>
    </x:row>
    <x:row r="110">
      <x:c r="A110" s="17" t="n">
        <x:v>43224</x:v>
      </x:c>
      <x:c r="B110" s="18" t="n">
        <x:v>1312.34</x:v>
      </x:c>
      <x:c r="C110" s="18" t="n">
        <x:v>1315.32</x:v>
      </x:c>
      <x:c r="D110" s="18" t="n">
        <x:v>1307.93</x:v>
      </x:c>
      <x:c r="E110" s="18" t="n">
        <x:v>1314.6</x:v>
      </x:c>
      <x:c r="F110" s="19" t="n">
        <x:v>138486</x:v>
      </x:c>
    </x:row>
    <x:row r="111">
      <x:c r="A111" s="17" t="n">
        <x:v>43227</x:v>
      </x:c>
      <x:c r="B111" s="18" t="n">
        <x:v>1314.89</x:v>
      </x:c>
      <x:c r="C111" s="18" t="n">
        <x:v>1318.86</x:v>
      </x:c>
      <x:c r="D111" s="18" t="n">
        <x:v>1310.21</x:v>
      </x:c>
      <x:c r="E111" s="18" t="n">
        <x:v>1314.2</x:v>
      </x:c>
      <x:c r="F111" s="19" t="n">
        <x:v>117778</x:v>
      </x:c>
    </x:row>
    <x:row r="112">
      <x:c r="A112" s="17" t="n">
        <x:v>43228</x:v>
      </x:c>
      <x:c r="B112" s="18" t="n">
        <x:v>1314.3</x:v>
      </x:c>
      <x:c r="C112" s="18" t="n">
        <x:v>1317.77</x:v>
      </x:c>
      <x:c r="D112" s="18" t="n">
        <x:v>1305.92</x:v>
      </x:c>
      <x:c r="E112" s="18" t="n">
        <x:v>1314.67</x:v>
      </x:c>
      <x:c r="F112" s="19" t="n">
        <x:v>157331</x:v>
      </x:c>
    </x:row>
    <x:row r="113">
      <x:c r="A113" s="17" t="n">
        <x:v>43229</x:v>
      </x:c>
      <x:c r="B113" s="18" t="n">
        <x:v>1314.99</x:v>
      </x:c>
      <x:c r="C113" s="18" t="n">
        <x:v>1317.38</x:v>
      </x:c>
      <x:c r="D113" s="18" t="n">
        <x:v>1304.28</x:v>
      </x:c>
      <x:c r="E113" s="18" t="n">
        <x:v>1312.36</x:v>
      </x:c>
      <x:c r="F113" s="19" t="n">
        <x:v>150024</x:v>
      </x:c>
    </x:row>
    <x:row r="114">
      <x:c r="A114" s="17" t="n">
        <x:v>43230</x:v>
      </x:c>
      <x:c r="B114" s="18" t="n">
        <x:v>1312.19</x:v>
      </x:c>
      <x:c r="C114" s="18" t="n">
        <x:v>1322.82</x:v>
      </x:c>
      <x:c r="D114" s="18" t="n">
        <x:v>1310.72</x:v>
      </x:c>
      <x:c r="E114" s="18" t="n">
        <x:v>1321.05</x:v>
      </x:c>
      <x:c r="F114" s="19" t="n">
        <x:v>151321</x:v>
      </x:c>
    </x:row>
    <x:row r="115">
      <x:c r="A115" s="17" t="n">
        <x:v>43231</x:v>
      </x:c>
      <x:c r="B115" s="18" t="n">
        <x:v>1321.28</x:v>
      </x:c>
      <x:c r="C115" s="18" t="n">
        <x:v>1325.9</x:v>
      </x:c>
      <x:c r="D115" s="18" t="n">
        <x:v>1316.86</x:v>
      </x:c>
      <x:c r="E115" s="18" t="n">
        <x:v>1317.93</x:v>
      </x:c>
      <x:c r="F115" s="19" t="n">
        <x:v>121865</x:v>
      </x:c>
    </x:row>
    <x:row r="116">
      <x:c r="A116" s="17" t="n">
        <x:v>43234</x:v>
      </x:c>
      <x:c r="B116" s="18" t="n">
        <x:v>1318.11</x:v>
      </x:c>
      <x:c r="C116" s="18" t="n">
        <x:v>1322.29</x:v>
      </x:c>
      <x:c r="D116" s="18" t="n">
        <x:v>1312.91</x:v>
      </x:c>
      <x:c r="E116" s="18" t="n">
        <x:v>1313.13</x:v>
      </x:c>
      <x:c r="F116" s="19" t="n">
        <x:v>113839</x:v>
      </x:c>
    </x:row>
    <x:row r="117">
      <x:c r="A117" s="17" t="n">
        <x:v>43235</x:v>
      </x:c>
      <x:c r="B117" s="18" t="n">
        <x:v>1314.14</x:v>
      </x:c>
      <x:c r="C117" s="18" t="n">
        <x:v>1314.84</x:v>
      </x:c>
      <x:c r="D117" s="18" t="n">
        <x:v>1288.66</x:v>
      </x:c>
      <x:c r="E117" s="18" t="n">
        <x:v>1290.77</x:v>
      </x:c>
      <x:c r="F117" s="19" t="n">
        <x:v>155008</x:v>
      </x:c>
    </x:row>
    <x:row r="118">
      <x:c r="A118" s="17" t="n">
        <x:v>43236</x:v>
      </x:c>
      <x:c r="B118" s="18" t="n">
        <x:v>1290.69</x:v>
      </x:c>
      <x:c r="C118" s="18" t="n">
        <x:v>1296.87</x:v>
      </x:c>
      <x:c r="D118" s="18" t="n">
        <x:v>1286.38</x:v>
      </x:c>
      <x:c r="E118" s="18" t="n">
        <x:v>1290.48</x:v>
      </x:c>
      <x:c r="F118" s="19" t="n">
        <x:v>149270</x:v>
      </x:c>
    </x:row>
    <x:row r="119">
      <x:c r="A119" s="17" t="n">
        <x:v>43237</x:v>
      </x:c>
      <x:c r="B119" s="18" t="n">
        <x:v>1290.96</x:v>
      </x:c>
      <x:c r="C119" s="18" t="n">
        <x:v>1294.34</x:v>
      </x:c>
      <x:c r="D119" s="18" t="n">
        <x:v>1284.93</x:v>
      </x:c>
      <x:c r="E119" s="18" t="n">
        <x:v>1290.77</x:v>
      </x:c>
      <x:c r="F119" s="19" t="n">
        <x:v>141985</x:v>
      </x:c>
    </x:row>
    <x:row r="120">
      <x:c r="A120" s="17" t="n">
        <x:v>43238</x:v>
      </x:c>
      <x:c r="B120" s="18" t="n">
        <x:v>1290.49</x:v>
      </x:c>
      <x:c r="C120" s="18" t="n">
        <x:v>1294.18</x:v>
      </x:c>
      <x:c r="D120" s="18" t="n">
        <x:v>1286.06</x:v>
      </x:c>
      <x:c r="E120" s="18" t="n">
        <x:v>1292.48</x:v>
      </x:c>
      <x:c r="F120" s="19" t="n">
        <x:v>119227</x:v>
      </x:c>
    </x:row>
    <x:row r="121">
      <x:c r="A121" s="17" t="n">
        <x:v>43241</x:v>
      </x:c>
      <x:c r="B121" s="18" t="n">
        <x:v>1291.52</x:v>
      </x:c>
      <x:c r="C121" s="18" t="n">
        <x:v>1293.12</x:v>
      </x:c>
      <x:c r="D121" s="18" t="n">
        <x:v>1282</x:v>
      </x:c>
      <x:c r="E121" s="18" t="n">
        <x:v>1292.48</x:v>
      </x:c>
      <x:c r="F121" s="19" t="n">
        <x:v>122414</x:v>
      </x:c>
    </x:row>
    <x:row r="122">
      <x:c r="A122" s="17" t="n">
        <x:v>43242</x:v>
      </x:c>
      <x:c r="B122" s="18" t="n">
        <x:v>1292.62</x:v>
      </x:c>
      <x:c r="C122" s="18" t="n">
        <x:v>1296.09</x:v>
      </x:c>
      <x:c r="D122" s="18" t="n">
        <x:v>1287.9</x:v>
      </x:c>
      <x:c r="E122" s="18" t="n">
        <x:v>1291.02</x:v>
      </x:c>
      <x:c r="F122" s="19" t="n">
        <x:v>125944</x:v>
      </x:c>
    </x:row>
    <x:row r="123">
      <x:c r="A123" s="17" t="n">
        <x:v>43243</x:v>
      </x:c>
      <x:c r="B123" s="18" t="n">
        <x:v>1291.23</x:v>
      </x:c>
      <x:c r="C123" s="18" t="n">
        <x:v>1298.28</x:v>
      </x:c>
      <x:c r="D123" s="18" t="n">
        <x:v>1287.54</x:v>
      </x:c>
      <x:c r="E123" s="18" t="n">
        <x:v>1293.18</x:v>
      </x:c>
      <x:c r="F123" s="19" t="n">
        <x:v>169357</x:v>
      </x:c>
    </x:row>
    <x:row r="124">
      <x:c r="A124" s="17" t="n">
        <x:v>43244</x:v>
      </x:c>
      <x:c r="B124" s="18" t="n">
        <x:v>1293.9</x:v>
      </x:c>
      <x:c r="C124" s="18" t="n">
        <x:v>1306.59</x:v>
      </x:c>
      <x:c r="D124" s="18" t="n">
        <x:v>1292.72</x:v>
      </x:c>
      <x:c r="E124" s="18" t="n">
        <x:v>1304.25</x:v>
      </x:c>
      <x:c r="F124" s="19" t="n">
        <x:v>146932</x:v>
      </x:c>
    </x:row>
    <x:row r="125">
      <x:c r="A125" s="17" t="n">
        <x:v>43245</x:v>
      </x:c>
      <x:c r="B125" s="18" t="n">
        <x:v>1304.84</x:v>
      </x:c>
      <x:c r="C125" s="18" t="n">
        <x:v>1307.75</x:v>
      </x:c>
      <x:c r="D125" s="18" t="n">
        <x:v>1299.83</x:v>
      </x:c>
      <x:c r="E125" s="18" t="n">
        <x:v>1300.52</x:v>
      </x:c>
      <x:c r="F125" s="19" t="n">
        <x:v>145825</x:v>
      </x:c>
    </x:row>
    <x:row r="126">
      <x:c r="A126" s="17" t="n">
        <x:v>43248</x:v>
      </x:c>
      <x:c r="B126" s="18" t="n">
        <x:v>1299.41</x:v>
      </x:c>
      <x:c r="C126" s="18" t="n">
        <x:v>1300.3</x:v>
      </x:c>
      <x:c r="D126" s="18" t="n">
        <x:v>1295.48</x:v>
      </x:c>
      <x:c r="E126" s="18" t="n">
        <x:v>1298.02</x:v>
      </x:c>
      <x:c r="F126" s="19" t="n">
        <x:v>94074</x:v>
      </x:c>
    </x:row>
    <x:row r="127">
      <x:c r="A127" s="17" t="n">
        <x:v>43249</x:v>
      </x:c>
      <x:c r="B127" s="18" t="n">
        <x:v>1297.64</x:v>
      </x:c>
      <x:c r="C127" s="18" t="n">
        <x:v>1306.57</x:v>
      </x:c>
      <x:c r="D127" s="18" t="n">
        <x:v>1292.48</x:v>
      </x:c>
      <x:c r="E127" s="18" t="n">
        <x:v>1298.64</x:v>
      </x:c>
      <x:c r="F127" s="19" t="n">
        <x:v>188420</x:v>
      </x:c>
    </x:row>
    <x:row r="128">
      <x:c r="A128" s="17" t="n">
        <x:v>43250</x:v>
      </x:c>
      <x:c r="B128" s="18" t="n">
        <x:v>1299.68</x:v>
      </x:c>
      <x:c r="C128" s="18" t="n">
        <x:v>1304.28</x:v>
      </x:c>
      <x:c r="D128" s="18" t="n">
        <x:v>1295.86</x:v>
      </x:c>
      <x:c r="E128" s="18" t="n">
        <x:v>1301.55</x:v>
      </x:c>
      <x:c r="F128" s="19" t="n">
        <x:v>187898</x:v>
      </x:c>
    </x:row>
    <x:row r="129">
      <x:c r="A129" s="17" t="n">
        <x:v>43251</x:v>
      </x:c>
      <x:c r="B129" s="18" t="n">
        <x:v>1301.7</x:v>
      </x:c>
      <x:c r="C129" s="18" t="n">
        <x:v>1306.43</x:v>
      </x:c>
      <x:c r="D129" s="18" t="n">
        <x:v>1297.26</x:v>
      </x:c>
      <x:c r="E129" s="18" t="n">
        <x:v>1298.24</x:v>
      </x:c>
      <x:c r="F129" s="19" t="n">
        <x:v>173786</x:v>
      </x:c>
    </x:row>
    <x:row r="130">
      <x:c r="A130" s="17" t="n">
        <x:v>43252</x:v>
      </x:c>
      <x:c r="B130" s="18" t="n">
        <x:v>1298.89</x:v>
      </x:c>
      <x:c r="C130" s="18" t="n">
        <x:v>1300.54</x:v>
      </x:c>
      <x:c r="D130" s="18" t="n">
        <x:v>1289.34</x:v>
      </x:c>
      <x:c r="E130" s="18" t="n">
        <x:v>1293.27</x:v>
      </x:c>
      <x:c r="F130" s="19" t="n">
        <x:v>148261</x:v>
      </x:c>
    </x:row>
    <x:row r="131">
      <x:c r="A131" s="17" t="n">
        <x:v>43255</x:v>
      </x:c>
      <x:c r="B131" s="18" t="n">
        <x:v>1293.04</x:v>
      </x:c>
      <x:c r="C131" s="18" t="n">
        <x:v>1298.08</x:v>
      </x:c>
      <x:c r="D131" s="18" t="n">
        <x:v>1290.15</x:v>
      </x:c>
      <x:c r="E131" s="18" t="n">
        <x:v>1291.81</x:v>
      </x:c>
      <x:c r="F131" s="19" t="n">
        <x:v>104577</x:v>
      </x:c>
    </x:row>
    <x:row r="132">
      <x:c r="A132" s="17" t="n">
        <x:v>43256</x:v>
      </x:c>
      <x:c r="B132" s="18" t="n">
        <x:v>1292.18</x:v>
      </x:c>
      <x:c r="C132" s="18" t="n">
        <x:v>1300.5</x:v>
      </x:c>
      <x:c r="D132" s="18" t="n">
        <x:v>1289.69</x:v>
      </x:c>
      <x:c r="E132" s="18" t="n">
        <x:v>1296.49</x:v>
      </x:c>
      <x:c r="F132" s="19" t="n">
        <x:v>98666</x:v>
      </x:c>
    </x:row>
    <x:row r="133">
      <x:c r="A133" s="17" t="n">
        <x:v>43257</x:v>
      </x:c>
      <x:c r="B133" s="18" t="n">
        <x:v>1296.84</x:v>
      </x:c>
      <x:c r="C133" s="18" t="n">
        <x:v>1301.76</x:v>
      </x:c>
      <x:c r="D133" s="18" t="n">
        <x:v>1293.73</x:v>
      </x:c>
      <x:c r="E133" s="18" t="n">
        <x:v>1295.95</x:v>
      </x:c>
      <x:c r="F133" s="19" t="n">
        <x:v>110358</x:v>
      </x:c>
    </x:row>
    <x:row r="134">
      <x:c r="A134" s="17" t="n">
        <x:v>43258</x:v>
      </x:c>
      <x:c r="B134" s="18" t="n">
        <x:v>1296.61</x:v>
      </x:c>
      <x:c r="C134" s="18" t="n">
        <x:v>1303.09</x:v>
      </x:c>
      <x:c r="D134" s="18" t="n">
        <x:v>1294.82</x:v>
      </x:c>
      <x:c r="E134" s="18" t="n">
        <x:v>1296.71</x:v>
      </x:c>
      <x:c r="F134" s="19" t="n">
        <x:v>121194</x:v>
      </x:c>
    </x:row>
    <x:row r="135">
      <x:c r="A135" s="17" t="n">
        <x:v>43259</x:v>
      </x:c>
      <x:c r="B135" s="18" t="n">
        <x:v>1297.3</x:v>
      </x:c>
      <x:c r="C135" s="18" t="n">
        <x:v>1300.51</x:v>
      </x:c>
      <x:c r="D135" s="18" t="n">
        <x:v>1292.05</x:v>
      </x:c>
      <x:c r="E135" s="18" t="n">
        <x:v>1298.6</x:v>
      </x:c>
      <x:c r="F135" s="19" t="n">
        <x:v>109534</x:v>
      </x:c>
    </x:row>
    <x:row r="136">
      <x:c r="A136" s="17" t="n">
        <x:v>43262</x:v>
      </x:c>
      <x:c r="B136" s="18" t="n">
        <x:v>1299.1</x:v>
      </x:c>
      <x:c r="C136" s="18" t="n">
        <x:v>1302.2</x:v>
      </x:c>
      <x:c r="D136" s="18" t="n">
        <x:v>1294.02</x:v>
      </x:c>
      <x:c r="E136" s="18" t="n">
        <x:v>1300.35</x:v>
      </x:c>
      <x:c r="F136" s="19" t="n">
        <x:v>92191</x:v>
      </x:c>
    </x:row>
    <x:row r="137">
      <x:c r="A137" s="17" t="n">
        <x:v>43263</x:v>
      </x:c>
      <x:c r="B137" s="18" t="n">
        <x:v>1299.92</x:v>
      </x:c>
      <x:c r="C137" s="18" t="n">
        <x:v>1300.23</x:v>
      </x:c>
      <x:c r="D137" s="18" t="n">
        <x:v>1292.76</x:v>
      </x:c>
      <x:c r="E137" s="18" t="n">
        <x:v>1295.52</x:v>
      </x:c>
      <x:c r="F137" s="19" t="n">
        <x:v>101366</x:v>
      </x:c>
    </x:row>
    <x:row r="138">
      <x:c r="A138" s="17" t="n">
        <x:v>43264</x:v>
      </x:c>
      <x:c r="B138" s="18" t="n">
        <x:v>1295.44</x:v>
      </x:c>
      <x:c r="C138" s="18" t="n">
        <x:v>1301.2</x:v>
      </x:c>
      <x:c r="D138" s="18" t="n">
        <x:v>1291.82</x:v>
      </x:c>
      <x:c r="E138" s="18" t="n">
        <x:v>1299.46</x:v>
      </x:c>
      <x:c r="F138" s="19" t="n">
        <x:v>95965</x:v>
      </x:c>
    </x:row>
    <x:row r="139">
      <x:c r="A139" s="17" t="n">
        <x:v>43265</x:v>
      </x:c>
      <x:c r="B139" s="18" t="n">
        <x:v>1299.85</x:v>
      </x:c>
      <x:c r="C139" s="18" t="n">
        <x:v>1309.28</x:v>
      </x:c>
      <x:c r="D139" s="18" t="n">
        <x:v>1297.48</x:v>
      </x:c>
      <x:c r="E139" s="18" t="n">
        <x:v>1302.25</x:v>
      </x:c>
      <x:c r="F139" s="19" t="n">
        <x:v>120986</x:v>
      </x:c>
    </x:row>
    <x:row r="140">
      <x:c r="A140" s="17" t="n">
        <x:v>43266</x:v>
      </x:c>
      <x:c r="B140" s="18" t="n">
        <x:v>1302.16</x:v>
      </x:c>
      <x:c r="C140" s="18" t="n">
        <x:v>1303.07</x:v>
      </x:c>
      <x:c r="D140" s="18" t="n">
        <x:v>1275.33</x:v>
      </x:c>
      <x:c r="E140" s="18" t="n">
        <x:v>1280.19</x:v>
      </x:c>
      <x:c r="F140" s="19" t="n">
        <x:v>129635</x:v>
      </x:c>
    </x:row>
    <x:row r="141">
      <x:c r="A141" s="17" t="n">
        <x:v>43269</x:v>
      </x:c>
      <x:c r="B141" s="18" t="n">
        <x:v>1279.13</x:v>
      </x:c>
      <x:c r="C141" s="18" t="n">
        <x:v>1282.39</x:v>
      </x:c>
      <x:c r="D141" s="18" t="n">
        <x:v>1276.99</x:v>
      </x:c>
      <x:c r="E141" s="18" t="n">
        <x:v>1278.2</x:v>
      </x:c>
      <x:c r="F141" s="19" t="n">
        <x:v>85770</x:v>
      </x:c>
    </x:row>
    <x:row r="142">
      <x:c r="A142" s="17" t="n">
        <x:v>43270</x:v>
      </x:c>
      <x:c r="B142" s="18" t="n">
        <x:v>1278.88</x:v>
      </x:c>
      <x:c r="C142" s="18" t="n">
        <x:v>1283.99</x:v>
      </x:c>
      <x:c r="D142" s="18" t="n">
        <x:v>1270.31</x:v>
      </x:c>
      <x:c r="E142" s="18" t="n">
        <x:v>1274.46</x:v>
      </x:c>
      <x:c r="F142" s="19" t="n">
        <x:v>111361</x:v>
      </x:c>
    </x:row>
    <x:row r="143">
      <x:c r="A143" s="17" t="n">
        <x:v>43271</x:v>
      </x:c>
      <x:c r="B143" s="18" t="n">
        <x:v>1274.94</x:v>
      </x:c>
      <x:c r="C143" s="18" t="n">
        <x:v>1276.38</x:v>
      </x:c>
      <x:c r="D143" s="18" t="n">
        <x:v>1267.56</x:v>
      </x:c>
      <x:c r="E143" s="18" t="n">
        <x:v>1267.56</x:v>
      </x:c>
      <x:c r="F143" s="19" t="n">
        <x:v>94062</x:v>
      </x:c>
    </x:row>
    <x:row r="144">
      <x:c r="A144" s="17" t="n">
        <x:v>43272</x:v>
      </x:c>
      <x:c r="B144" s="18" t="n">
        <x:v>1268.05</x:v>
      </x:c>
      <x:c r="C144" s="18" t="n">
        <x:v>1270.06</x:v>
      </x:c>
      <x:c r="D144" s="18" t="n">
        <x:v>1261.29</x:v>
      </x:c>
      <x:c r="E144" s="18" t="n">
        <x:v>1267.24</x:v>
      </x:c>
      <x:c r="F144" s="19" t="n">
        <x:v>100259</x:v>
      </x:c>
    </x:row>
    <x:row r="145">
      <x:c r="A145" s="17" t="n">
        <x:v>43273</x:v>
      </x:c>
      <x:c r="B145" s="18" t="n">
        <x:v>1267.38</x:v>
      </x:c>
      <x:c r="C145" s="18" t="n">
        <x:v>1271.03</x:v>
      </x:c>
      <x:c r="D145" s="18" t="n">
        <x:v>1266.58</x:v>
      </x:c>
      <x:c r="E145" s="18" t="n">
        <x:v>1269.21</x:v>
      </x:c>
      <x:c r="F145" s="19" t="n">
        <x:v>91278</x:v>
      </x:c>
    </x:row>
    <x:row r="146">
      <x:c r="A146" s="17" t="n">
        <x:v>43276</x:v>
      </x:c>
      <x:c r="B146" s="18" t="n">
        <x:v>1271.37</x:v>
      </x:c>
      <x:c r="C146" s="18" t="n">
        <x:v>1272.56</x:v>
      </x:c>
      <x:c r="D146" s="18" t="n">
        <x:v>1264.4</x:v>
      </x:c>
      <x:c r="E146" s="18" t="n">
        <x:v>1265.32</x:v>
      </x:c>
      <x:c r="F146" s="19" t="n">
        <x:v>85791</x:v>
      </x:c>
    </x:row>
    <x:row r="147">
      <x:c r="A147" s="17" t="n">
        <x:v>43277</x:v>
      </x:c>
      <x:c r="B147" s="18" t="n">
        <x:v>1266.04</x:v>
      </x:c>
      <x:c r="C147" s="18" t="n">
        <x:v>1267.61</x:v>
      </x:c>
      <x:c r="D147" s="18" t="n">
        <x:v>1254.71</x:v>
      </x:c>
      <x:c r="E147" s="18" t="n">
        <x:v>1258.45</x:v>
      </x:c>
      <x:c r="F147" s="19" t="n">
        <x:v>96050</x:v>
      </x:c>
    </x:row>
    <x:row r="148">
      <x:c r="A148" s="17" t="n">
        <x:v>43278</x:v>
      </x:c>
      <x:c r="B148" s="18" t="n">
        <x:v>1258.44</x:v>
      </x:c>
      <x:c r="C148" s="18" t="n">
        <x:v>1260.05</x:v>
      </x:c>
      <x:c r="D148" s="18" t="n">
        <x:v>1250.59</x:v>
      </x:c>
      <x:c r="E148" s="18" t="n">
        <x:v>1251.79</x:v>
      </x:c>
      <x:c r="F148" s="19" t="n">
        <x:v>120000</x:v>
      </x:c>
    </x:row>
    <x:row r="149">
      <x:c r="A149" s="17" t="n">
        <x:v>43279</x:v>
      </x:c>
      <x:c r="B149" s="18" t="n">
        <x:v>1252.31</x:v>
      </x:c>
      <x:c r="C149" s="18" t="n">
        <x:v>1254.24</x:v>
      </x:c>
      <x:c r="D149" s="18" t="n">
        <x:v>1245.84</x:v>
      </x:c>
      <x:c r="E149" s="18" t="n">
        <x:v>1248.14</x:v>
      </x:c>
      <x:c r="F149" s="19" t="n">
        <x:v>107112</x:v>
      </x:c>
    </x:row>
    <x:row r="150">
      <x:c r="A150" s="17" t="n">
        <x:v>43280</x:v>
      </x:c>
      <x:c r="B150" s="18" t="n">
        <x:v>1248.01</x:v>
      </x:c>
      <x:c r="C150" s="18" t="n">
        <x:v>1255.57</x:v>
      </x:c>
      <x:c r="D150" s="18" t="n">
        <x:v>1245.99</x:v>
      </x:c>
      <x:c r="E150" s="18" t="n">
        <x:v>1252.74</x:v>
      </x:c>
      <x:c r="F150" s="19" t="n">
        <x:v>105015</x:v>
      </x:c>
    </x:row>
    <x:row r="151">
      <x:c r="A151" s="17" t="n">
        <x:v>43283</x:v>
      </x:c>
      <x:c r="B151" s="18" t="n">
        <x:v>1252.73</x:v>
      </x:c>
      <x:c r="C151" s="18" t="n">
        <x:v>1254.15</x:v>
      </x:c>
      <x:c r="D151" s="18" t="n">
        <x:v>1239.63</x:v>
      </x:c>
      <x:c r="E151" s="18" t="n">
        <x:v>1241.49</x:v>
      </x:c>
      <x:c r="F151" s="19" t="n">
        <x:v>92801</x:v>
      </x:c>
    </x:row>
    <x:row r="152">
      <x:c r="A152" s="17" t="n">
        <x:v>43284</x:v>
      </x:c>
      <x:c r="B152" s="18" t="n">
        <x:v>1241.89</x:v>
      </x:c>
      <x:c r="C152" s="18" t="n">
        <x:v>1256.85</x:v>
      </x:c>
      <x:c r="D152" s="18" t="n">
        <x:v>1237.82</x:v>
      </x:c>
      <x:c r="E152" s="18" t="n">
        <x:v>1252.78</x:v>
      </x:c>
      <x:c r="F152" s="19" t="n">
        <x:v>99777</x:v>
      </x:c>
    </x:row>
    <x:row r="153">
      <x:c r="A153" s="17" t="n">
        <x:v>43285</x:v>
      </x:c>
      <x:c r="B153" s="18" t="n">
        <x:v>1252.47</x:v>
      </x:c>
      <x:c r="C153" s="18" t="n">
        <x:v>1261.07</x:v>
      </x:c>
      <x:c r="D153" s="18" t="n">
        <x:v>1252.34</x:v>
      </x:c>
      <x:c r="E153" s="18" t="n">
        <x:v>1256.47</x:v>
      </x:c>
      <x:c r="F153" s="19" t="n">
        <x:v>66126</x:v>
      </x:c>
    </x:row>
    <x:row r="154">
      <x:c r="A154" s="17" t="n">
        <x:v>43286</x:v>
      </x:c>
      <x:c r="B154" s="18" t="n">
        <x:v>1256.24</x:v>
      </x:c>
      <x:c r="C154" s="18" t="n">
        <x:v>1259.68</x:v>
      </x:c>
      <x:c r="D154" s="18" t="n">
        <x:v>1251.24</x:v>
      </x:c>
      <x:c r="E154" s="18" t="n">
        <x:v>1257.17</x:v>
      </x:c>
      <x:c r="F154" s="19" t="n">
        <x:v>96636</x:v>
      </x:c>
    </x:row>
    <x:row r="155">
      <x:c r="A155" s="17" t="n">
        <x:v>43287</x:v>
      </x:c>
      <x:c r="B155" s="18" t="n">
        <x:v>1257.2</x:v>
      </x:c>
      <x:c r="C155" s="18" t="n">
        <x:v>1258.94</x:v>
      </x:c>
      <x:c r="D155" s="18" t="n">
        <x:v>1252.69</x:v>
      </x:c>
      <x:c r="E155" s="18" t="n">
        <x:v>1254.56</x:v>
      </x:c>
      <x:c r="F155" s="19" t="n">
        <x:v>84427</x:v>
      </x:c>
    </x:row>
    <x:row r="156">
      <x:c r="A156" s="17" t="n">
        <x:v>43290</x:v>
      </x:c>
      <x:c r="B156" s="18" t="n">
        <x:v>1255.25</x:v>
      </x:c>
      <x:c r="C156" s="18" t="n">
        <x:v>1265.84</x:v>
      </x:c>
      <x:c r="D156" s="18" t="n">
        <x:v>1254.83</x:v>
      </x:c>
      <x:c r="E156" s="18" t="n">
        <x:v>1257.41</x:v>
      </x:c>
      <x:c r="F156" s="19" t="n">
        <x:v>85713</x:v>
      </x:c>
    </x:row>
    <x:row r="157">
      <x:c r="A157" s="17" t="n">
        <x:v>43291</x:v>
      </x:c>
      <x:c r="B157" s="18" t="n">
        <x:v>1257.64</x:v>
      </x:c>
      <x:c r="C157" s="18" t="n">
        <x:v>1260.24</x:v>
      </x:c>
      <x:c r="D157" s="18" t="n">
        <x:v>1247.28</x:v>
      </x:c>
      <x:c r="E157" s="18" t="n">
        <x:v>1255.93</x:v>
      </x:c>
      <x:c r="F157" s="19" t="n">
        <x:v>92125</x:v>
      </x:c>
    </x:row>
    <x:row r="158">
      <x:c r="A158" s="17" t="n">
        <x:v>43292</x:v>
      </x:c>
      <x:c r="B158" s="18" t="n">
        <x:v>1255.7</x:v>
      </x:c>
      <x:c r="C158" s="18" t="n">
        <x:v>1256.84</x:v>
      </x:c>
      <x:c r="D158" s="18" t="n">
        <x:v>1241.41</x:v>
      </x:c>
      <x:c r="E158" s="18" t="n">
        <x:v>1242.18</x:v>
      </x:c>
      <x:c r="F158" s="19" t="n">
        <x:v>107259</x:v>
      </x:c>
    </x:row>
    <x:row r="159">
      <x:c r="A159" s="17" t="n">
        <x:v>43293</x:v>
      </x:c>
      <x:c r="B159" s="18" t="n">
        <x:v>1242.46</x:v>
      </x:c>
      <x:c r="C159" s="18" t="n">
        <x:v>1248.5</x:v>
      </x:c>
      <x:c r="D159" s="18" t="n">
        <x:v>1241.24</x:v>
      </x:c>
      <x:c r="E159" s="18" t="n">
        <x:v>1246.94</x:v>
      </x:c>
      <x:c r="F159" s="19" t="n">
        <x:v>124587</x:v>
      </x:c>
    </x:row>
    <x:row r="160">
      <x:c r="A160" s="17" t="n">
        <x:v>43294</x:v>
      </x:c>
      <x:c r="B160" s="18" t="n">
        <x:v>1246.83</x:v>
      </x:c>
      <x:c r="C160" s="18" t="n">
        <x:v>1248.04</x:v>
      </x:c>
      <x:c r="D160" s="18" t="n">
        <x:v>1236.3</x:v>
      </x:c>
      <x:c r="E160" s="18" t="n">
        <x:v>1241.06</x:v>
      </x:c>
      <x:c r="F160" s="19" t="n">
        <x:v>87064</x:v>
      </x:c>
    </x:row>
    <x:row r="161">
      <x:c r="A161" s="17" t="n">
        <x:v>43297</x:v>
      </x:c>
      <x:c r="B161" s="18" t="n">
        <x:v>1241.27</x:v>
      </x:c>
      <x:c r="C161" s="18" t="n">
        <x:v>1245.51</x:v>
      </x:c>
      <x:c r="D161" s="18" t="n">
        <x:v>1238.28</x:v>
      </x:c>
      <x:c r="E161" s="18" t="n">
        <x:v>1240.8</x:v>
      </x:c>
      <x:c r="F161" s="19" t="n">
        <x:v>84962</x:v>
      </x:c>
    </x:row>
    <x:row r="162">
      <x:c r="A162" s="17" t="n">
        <x:v>43298</x:v>
      </x:c>
      <x:c r="B162" s="18" t="n">
        <x:v>1240.73</x:v>
      </x:c>
      <x:c r="C162" s="18" t="n">
        <x:v>1244.94</x:v>
      </x:c>
      <x:c r="D162" s="18" t="n">
        <x:v>1226.02</x:v>
      </x:c>
      <x:c r="E162" s="18" t="n">
        <x:v>1227.28</x:v>
      </x:c>
      <x:c r="F162" s="19" t="n">
        <x:v>94259</x:v>
      </x:c>
    </x:row>
    <x:row r="163">
      <x:c r="A163" s="17" t="n">
        <x:v>43299</x:v>
      </x:c>
      <x:c r="B163" s="18" t="n">
        <x:v>1227.67</x:v>
      </x:c>
      <x:c r="C163" s="18" t="n">
        <x:v>1229.1</x:v>
      </x:c>
      <x:c r="D163" s="18" t="n">
        <x:v>1220.98</x:v>
      </x:c>
      <x:c r="E163" s="18" t="n">
        <x:v>1227.5</x:v>
      </x:c>
      <x:c r="F163" s="19" t="n">
        <x:v>83684</x:v>
      </x:c>
    </x:row>
    <x:row r="164">
      <x:c r="A164" s="17" t="n">
        <x:v>43300</x:v>
      </x:c>
      <x:c r="B164" s="18" t="n">
        <x:v>1226.98</x:v>
      </x:c>
      <x:c r="C164" s="18" t="n">
        <x:v>1228.98</x:v>
      </x:c>
      <x:c r="D164" s="18" t="n">
        <x:v>1211.45</x:v>
      </x:c>
      <x:c r="E164" s="18" t="n">
        <x:v>1222.86</x:v>
      </x:c>
      <x:c r="F164" s="19" t="n">
        <x:v>110244</x:v>
      </x:c>
    </x:row>
    <x:row r="165">
      <x:c r="A165" s="17" t="n">
        <x:v>43301</x:v>
      </x:c>
      <x:c r="B165" s="18" t="n">
        <x:v>1223.75</x:v>
      </x:c>
      <x:c r="C165" s="18" t="n">
        <x:v>1232.22</x:v>
      </x:c>
      <x:c r="D165" s="18" t="n">
        <x:v>1215.63</x:v>
      </x:c>
      <x:c r="E165" s="18" t="n">
        <x:v>1231.59</x:v>
      </x:c>
      <x:c r="F165" s="19" t="n">
        <x:v>123272</x:v>
      </x:c>
    </x:row>
    <x:row r="166">
      <x:c r="A166" s="17" t="n">
        <x:v>43304</x:v>
      </x:c>
      <x:c r="B166" s="18" t="n">
        <x:v>1230.39</x:v>
      </x:c>
      <x:c r="C166" s="18" t="n">
        <x:v>1235.15</x:v>
      </x:c>
      <x:c r="D166" s="18" t="n">
        <x:v>1222.19</x:v>
      </x:c>
      <x:c r="E166" s="18" t="n">
        <x:v>1224.42</x:v>
      </x:c>
      <x:c r="F166" s="19" t="n">
        <x:v>106685</x:v>
      </x:c>
    </x:row>
    <x:row r="167">
      <x:c r="A167" s="17" t="n">
        <x:v>43305</x:v>
      </x:c>
      <x:c r="B167" s="18" t="n">
        <x:v>1224.75</x:v>
      </x:c>
      <x:c r="C167" s="18" t="n">
        <x:v>1229.45</x:v>
      </x:c>
      <x:c r="D167" s="18" t="n">
        <x:v>1218.1</x:v>
      </x:c>
      <x:c r="E167" s="18" t="n">
        <x:v>1224.45</x:v>
      </x:c>
      <x:c r="F167" s="19" t="n">
        <x:v>111426</x:v>
      </x:c>
    </x:row>
    <x:row r="168">
      <x:c r="A168" s="17" t="n">
        <x:v>43306</x:v>
      </x:c>
      <x:c r="B168" s="18" t="n">
        <x:v>1224.42</x:v>
      </x:c>
      <x:c r="C168" s="18" t="n">
        <x:v>1234.14</x:v>
      </x:c>
      <x:c r="D168" s="18" t="n">
        <x:v>1223.16</x:v>
      </x:c>
      <x:c r="E168" s="18" t="n">
        <x:v>1231.57</x:v>
      </x:c>
      <x:c r="F168" s="19" t="n">
        <x:v>115501</x:v>
      </x:c>
    </x:row>
    <x:row r="169">
      <x:c r="A169" s="17" t="n">
        <x:v>43307</x:v>
      </x:c>
      <x:c r="B169" s="18" t="n">
        <x:v>1231.46</x:v>
      </x:c>
      <x:c r="C169" s="18" t="n">
        <x:v>1235.18</x:v>
      </x:c>
      <x:c r="D169" s="18" t="n">
        <x:v>1222.29</x:v>
      </x:c>
      <x:c r="E169" s="18" t="n">
        <x:v>1222.84</x:v>
      </x:c>
      <x:c r="F169" s="19" t="n">
        <x:v>98718</x:v>
      </x:c>
    </x:row>
    <x:row r="170">
      <x:c r="A170" s="17" t="n">
        <x:v>43308</x:v>
      </x:c>
      <x:c r="B170" s="18" t="n">
        <x:v>1223.57</x:v>
      </x:c>
      <x:c r="C170" s="18" t="n">
        <x:v>1227.32</x:v>
      </x:c>
      <x:c r="D170" s="18" t="n">
        <x:v>1217.51</x:v>
      </x:c>
      <x:c r="E170" s="18" t="n">
        <x:v>1222.81</x:v>
      </x:c>
      <x:c r="F170" s="19" t="n">
        <x:v>93949</x:v>
      </x:c>
    </x:row>
    <x:row r="171">
      <x:c r="A171" s="17" t="n">
        <x:v>43311</x:v>
      </x:c>
      <x:c r="B171" s="18" t="n">
        <x:v>1223.34</x:v>
      </x:c>
      <x:c r="C171" s="18" t="n">
        <x:v>1225.03</x:v>
      </x:c>
      <x:c r="D171" s="18" t="n">
        <x:v>1218.96</x:v>
      </x:c>
      <x:c r="E171" s="18" t="n">
        <x:v>1221.28</x:v>
      </x:c>
      <x:c r="F171" s="19" t="n">
        <x:v>66142</x:v>
      </x:c>
    </x:row>
    <x:row r="172">
      <x:c r="A172" s="17" t="n">
        <x:v>43312</x:v>
      </x:c>
      <x:c r="B172" s="18" t="n">
        <x:v>1221.54</x:v>
      </x:c>
      <x:c r="C172" s="18" t="n">
        <x:v>1228.53</x:v>
      </x:c>
      <x:c r="D172" s="18" t="n">
        <x:v>1213.93</x:v>
      </x:c>
      <x:c r="E172" s="18" t="n">
        <x:v>1223.94</x:v>
      </x:c>
      <x:c r="F172" s="19" t="n">
        <x:v>101931</x:v>
      </x:c>
    </x:row>
    <x:row r="173">
      <x:c r="A173" s="17" t="n">
        <x:v>43313</x:v>
      </x:c>
      <x:c r="B173" s="18" t="n">
        <x:v>1224.13</x:v>
      </x:c>
      <x:c r="C173" s="18" t="n">
        <x:v>1224.76</x:v>
      </x:c>
      <x:c r="D173" s="18" t="n">
        <x:v>1215.69</x:v>
      </x:c>
      <x:c r="E173" s="18" t="n">
        <x:v>1216.05</x:v>
      </x:c>
      <x:c r="F173" s="19" t="n">
        <x:v>90587</x:v>
      </x:c>
    </x:row>
    <x:row r="174">
      <x:c r="A174" s="17" t="n">
        <x:v>43314</x:v>
      </x:c>
      <x:c r="B174" s="18" t="n">
        <x:v>1216.52</x:v>
      </x:c>
      <x:c r="C174" s="18" t="n">
        <x:v>1221.05</x:v>
      </x:c>
      <x:c r="D174" s="18" t="n">
        <x:v>1206.97</x:v>
      </x:c>
      <x:c r="E174" s="18" t="n">
        <x:v>1207.72</x:v>
      </x:c>
      <x:c r="F174" s="19" t="n">
        <x:v>94108</x:v>
      </x:c>
    </x:row>
    <x:row r="175">
      <x:c r="A175" s="17" t="n">
        <x:v>43315</x:v>
      </x:c>
      <x:c r="B175" s="18" t="n">
        <x:v>1208.68</x:v>
      </x:c>
      <x:c r="C175" s="18" t="n">
        <x:v>1219.98</x:v>
      </x:c>
      <x:c r="D175" s="18" t="n">
        <x:v>1204.4</x:v>
      </x:c>
      <x:c r="E175" s="18" t="n">
        <x:v>1213.14</x:v>
      </x:c>
      <x:c r="F175" s="19" t="n">
        <x:v>97927</x:v>
      </x:c>
    </x:row>
    <x:row r="176">
      <x:c r="A176" s="17" t="n">
        <x:v>43318</x:v>
      </x:c>
      <x:c r="B176" s="18" t="n">
        <x:v>1213.61</x:v>
      </x:c>
      <x:c r="C176" s="18" t="n">
        <x:v>1217.85</x:v>
      </x:c>
      <x:c r="D176" s="18" t="n">
        <x:v>1206.48</x:v>
      </x:c>
      <x:c r="E176" s="18" t="n">
        <x:v>1207.1</x:v>
      </x:c>
      <x:c r="F176" s="19" t="n">
        <x:v>73276</x:v>
      </x:c>
    </x:row>
    <x:row r="177">
      <x:c r="A177" s="17" t="n">
        <x:v>43319</x:v>
      </x:c>
      <x:c r="B177" s="18" t="n">
        <x:v>1208.09</x:v>
      </x:c>
      <x:c r="C177" s="18" t="n">
        <x:v>1216.1</x:v>
      </x:c>
      <x:c r="D177" s="18" t="n">
        <x:v>1207.65</x:v>
      </x:c>
      <x:c r="E177" s="18" t="n">
        <x:v>1210.58</x:v>
      </x:c>
      <x:c r="F177" s="19" t="n">
        <x:v>74625</x:v>
      </x:c>
    </x:row>
    <x:row r="178">
      <x:c r="A178" s="17" t="n">
        <x:v>43320</x:v>
      </x:c>
      <x:c r="B178" s="18" t="n">
        <x:v>1211.01</x:v>
      </x:c>
      <x:c r="C178" s="18" t="n">
        <x:v>1215.82</x:v>
      </x:c>
      <x:c r="D178" s="18" t="n">
        <x:v>1206.35</x:v>
      </x:c>
      <x:c r="E178" s="18" t="n">
        <x:v>1213.38</x:v>
      </x:c>
      <x:c r="F178" s="19" t="n">
        <x:v>76836</x:v>
      </x:c>
    </x:row>
    <x:row r="179">
      <x:c r="A179" s="17" t="n">
        <x:v>43321</x:v>
      </x:c>
      <x:c r="B179" s="18" t="n">
        <x:v>1213.62</x:v>
      </x:c>
      <x:c r="C179" s="18" t="n">
        <x:v>1217.31</x:v>
      </x:c>
      <x:c r="D179" s="18" t="n">
        <x:v>1210.72</x:v>
      </x:c>
      <x:c r="E179" s="18" t="n">
        <x:v>1212.16</x:v>
      </x:c>
      <x:c r="F179" s="19" t="n">
        <x:v>86720</x:v>
      </x:c>
    </x:row>
    <x:row r="180">
      <x:c r="A180" s="17" t="n">
        <x:v>43322</x:v>
      </x:c>
      <x:c r="B180" s="18" t="n">
        <x:v>1212.55</x:v>
      </x:c>
      <x:c r="C180" s="18" t="n">
        <x:v>1217.09</x:v>
      </x:c>
      <x:c r="D180" s="18" t="n">
        <x:v>1205.7</x:v>
      </x:c>
      <x:c r="E180" s="18" t="n">
        <x:v>1211.38</x:v>
      </x:c>
      <x:c r="F180" s="19" t="n">
        <x:v>118308</x:v>
      </x:c>
    </x:row>
    <x:row r="181">
      <x:c r="A181" s="17" t="n">
        <x:v>43325</x:v>
      </x:c>
      <x:c r="B181" s="18" t="n">
        <x:v>1212.51</x:v>
      </x:c>
      <x:c r="C181" s="18" t="n">
        <x:v>1213.8</x:v>
      </x:c>
      <x:c r="D181" s="18" t="n">
        <x:v>1191.6</x:v>
      </x:c>
      <x:c r="E181" s="18" t="n">
        <x:v>1193.64</x:v>
      </x:c>
      <x:c r="F181" s="19" t="n">
        <x:v>90397</x:v>
      </x:c>
    </x:row>
    <x:row r="182">
      <x:c r="A182" s="17" t="n">
        <x:v>43326</x:v>
      </x:c>
      <x:c r="B182" s="18" t="n">
        <x:v>1194.01</x:v>
      </x:c>
      <x:c r="C182" s="18" t="n">
        <x:v>1198.67</x:v>
      </x:c>
      <x:c r="D182" s="18" t="n">
        <x:v>1191.99</x:v>
      </x:c>
      <x:c r="E182" s="18" t="n">
        <x:v>1193.93</x:v>
      </x:c>
      <x:c r="F182" s="19" t="n">
        <x:v>62151</x:v>
      </x:c>
    </x:row>
    <x:row r="183">
      <x:c r="A183" s="17" t="n">
        <x:v>43327</x:v>
      </x:c>
      <x:c r="B183" s="18" t="n">
        <x:v>1194.26</x:v>
      </x:c>
      <x:c r="C183" s="18" t="n">
        <x:v>1194.66</x:v>
      </x:c>
      <x:c r="D183" s="18" t="n">
        <x:v>1173.07</x:v>
      </x:c>
      <x:c r="E183" s="18" t="n">
        <x:v>1174.65</x:v>
      </x:c>
      <x:c r="F183" s="19" t="n">
        <x:v>77457</x:v>
      </x:c>
    </x:row>
    <x:row r="184">
      <x:c r="A184" s="17" t="n">
        <x:v>43328</x:v>
      </x:c>
      <x:c r="B184" s="18" t="n">
        <x:v>1175.55</x:v>
      </x:c>
      <x:c r="C184" s="18" t="n">
        <x:v>1182.02</x:v>
      </x:c>
      <x:c r="D184" s="18" t="n">
        <x:v>1160.07</x:v>
      </x:c>
      <x:c r="E184" s="18" t="n">
        <x:v>1173.93</x:v>
      </x:c>
      <x:c r="F184" s="19" t="n">
        <x:v>93034</x:v>
      </x:c>
    </x:row>
    <x:row r="185">
      <x:c r="A185" s="17" t="n">
        <x:v>43329</x:v>
      </x:c>
      <x:c r="B185" s="18" t="n">
        <x:v>1173.69</x:v>
      </x:c>
      <x:c r="C185" s="18" t="n">
        <x:v>1185</x:v>
      </x:c>
      <x:c r="D185" s="18" t="n">
        <x:v>1171.79</x:v>
      </x:c>
      <x:c r="E185" s="18" t="n">
        <x:v>1184.17</x:v>
      </x:c>
      <x:c r="F185" s="19" t="n">
        <x:v>64952</x:v>
      </x:c>
    </x:row>
    <x:row r="186">
      <x:c r="A186" s="17" t="n">
        <x:v>43332</x:v>
      </x:c>
      <x:c r="B186" s="18" t="n">
        <x:v>1183.46</x:v>
      </x:c>
      <x:c r="C186" s="18" t="n">
        <x:v>1190.79</x:v>
      </x:c>
      <x:c r="D186" s="18" t="n">
        <x:v>1182.6</x:v>
      </x:c>
      <x:c r="E186" s="18" t="n">
        <x:v>1190.36</x:v>
      </x:c>
      <x:c r="F186" s="19" t="n">
        <x:v>53212</x:v>
      </x:c>
    </x:row>
    <x:row r="187">
      <x:c r="A187" s="17" t="n">
        <x:v>43333</x:v>
      </x:c>
      <x:c r="B187" s="18" t="n">
        <x:v>1190.37</x:v>
      </x:c>
      <x:c r="C187" s="18" t="n">
        <x:v>1196.91</x:v>
      </x:c>
      <x:c r="D187" s="18" t="n">
        <x:v>1187.65</x:v>
      </x:c>
      <x:c r="E187" s="18" t="n">
        <x:v>1196.12</x:v>
      </x:c>
      <x:c r="F187" s="19" t="n">
        <x:v>69290</x:v>
      </x:c>
    </x:row>
    <x:row r="188">
      <x:c r="A188" s="17" t="n">
        <x:v>43334</x:v>
      </x:c>
      <x:c r="B188" s="18" t="n">
        <x:v>1196.05</x:v>
      </x:c>
      <x:c r="C188" s="18" t="n">
        <x:v>1201.52</x:v>
      </x:c>
      <x:c r="D188" s="18" t="n">
        <x:v>1192.54</x:v>
      </x:c>
      <x:c r="E188" s="18" t="n">
        <x:v>1195.42</x:v>
      </x:c>
      <x:c r="F188" s="19" t="n">
        <x:v>68635</x:v>
      </x:c>
    </x:row>
    <x:row r="189">
      <x:c r="A189" s="17" t="n">
        <x:v>43335</x:v>
      </x:c>
      <x:c r="B189" s="18" t="n">
        <x:v>1195.89</x:v>
      </x:c>
      <x:c r="C189" s="18" t="n">
        <x:v>1196.54</x:v>
      </x:c>
      <x:c r="D189" s="18" t="n">
        <x:v>1183.8</x:v>
      </x:c>
      <x:c r="E189" s="18" t="n">
        <x:v>1185.27</x:v>
      </x:c>
      <x:c r="F189" s="19" t="n">
        <x:v>64778</x:v>
      </x:c>
    </x:row>
    <x:row r="190">
      <x:c r="A190" s="17" t="n">
        <x:v>43336</x:v>
      </x:c>
      <x:c r="B190" s="18" t="n">
        <x:v>1185.3</x:v>
      </x:c>
      <x:c r="C190" s="18" t="n">
        <x:v>1208.49</x:v>
      </x:c>
      <x:c r="D190" s="18" t="n">
        <x:v>1183.18</x:v>
      </x:c>
      <x:c r="E190" s="18" t="n">
        <x:v>1205.88</x:v>
      </x:c>
      <x:c r="F190" s="19" t="n">
        <x:v>68650</x:v>
      </x:c>
    </x:row>
    <x:row r="191">
      <x:c r="A191" s="17" t="n">
        <x:v>43339</x:v>
      </x:c>
      <x:c r="B191" s="18" t="n">
        <x:v>1207.2</x:v>
      </x:c>
      <x:c r="C191" s="18" t="n">
        <x:v>1212.33</x:v>
      </x:c>
      <x:c r="D191" s="18" t="n">
        <x:v>1203.11</x:v>
      </x:c>
      <x:c r="E191" s="18" t="n">
        <x:v>1211.07</x:v>
      </x:c>
      <x:c r="F191" s="19" t="n">
        <x:v>48250</x:v>
      </x:c>
    </x:row>
    <x:row r="192">
      <x:c r="A192" s="17" t="n">
        <x:v>43340</x:v>
      </x:c>
      <x:c r="B192" s="18" t="n">
        <x:v>1210.81</x:v>
      </x:c>
      <x:c r="C192" s="18" t="n">
        <x:v>1214.21</x:v>
      </x:c>
      <x:c r="D192" s="18" t="n">
        <x:v>1199.53</x:v>
      </x:c>
      <x:c r="E192" s="18" t="n">
        <x:v>1200.96</x:v>
      </x:c>
      <x:c r="F192" s="19" t="n">
        <x:v>64378</x:v>
      </x:c>
    </x:row>
    <x:row r="193">
      <x:c r="A193" s="17" t="n">
        <x:v>43341</x:v>
      </x:c>
      <x:c r="B193" s="18" t="n">
        <x:v>1201.47</x:v>
      </x:c>
      <x:c r="C193" s="18" t="n">
        <x:v>1207.26</x:v>
      </x:c>
      <x:c r="D193" s="18" t="n">
        <x:v>1201.29</x:v>
      </x:c>
      <x:c r="E193" s="18" t="n">
        <x:v>1206.53</x:v>
      </x:c>
      <x:c r="F193" s="19" t="n">
        <x:v>58304</x:v>
      </x:c>
    </x:row>
    <x:row r="194">
      <x:c r="A194" s="17" t="n">
        <x:v>43342</x:v>
      </x:c>
      <x:c r="B194" s="18" t="n">
        <x:v>1206.91</x:v>
      </x:c>
      <x:c r="C194" s="18" t="n">
        <x:v>1207.81</x:v>
      </x:c>
      <x:c r="D194" s="18" t="n">
        <x:v>1196.17</x:v>
      </x:c>
      <x:c r="E194" s="18" t="n">
        <x:v>1199.61</x:v>
      </x:c>
      <x:c r="F194" s="19" t="n">
        <x:v>60868</x:v>
      </x:c>
    </x:row>
    <x:row r="195">
      <x:c r="A195" s="17" t="n">
        <x:v>43343</x:v>
      </x:c>
      <x:c r="B195" s="18" t="n">
        <x:v>1200</x:v>
      </x:c>
      <x:c r="C195" s="18" t="n">
        <x:v>1208.77</x:v>
      </x:c>
      <x:c r="D195" s="18" t="n">
        <x:v>1198.21</x:v>
      </x:c>
      <x:c r="E195" s="18" t="n">
        <x:v>1200.78</x:v>
      </x:c>
      <x:c r="F195" s="19" t="n">
        <x:v>75806</x:v>
      </x:c>
    </x:row>
    <x:row r="196">
      <x:c r="A196" s="17" t="n">
        <x:v>43346</x:v>
      </x:c>
      <x:c r="B196" s="18" t="n">
        <x:v>1200.68</x:v>
      </x:c>
      <x:c r="C196" s="18" t="n">
        <x:v>1203.84</x:v>
      </x:c>
      <x:c r="D196" s="18" t="n">
        <x:v>1195.6</x:v>
      </x:c>
      <x:c r="E196" s="18" t="n">
        <x:v>1201.25</x:v>
      </x:c>
      <x:c r="F196" s="19" t="n">
        <x:v>59262</x:v>
      </x:c>
    </x:row>
    <x:row r="197">
      <x:c r="A197" s="17" t="n">
        <x:v>43347</x:v>
      </x:c>
      <x:c r="B197" s="18" t="n">
        <x:v>1200.67</x:v>
      </x:c>
      <x:c r="C197" s="18" t="n">
        <x:v>1201.93</x:v>
      </x:c>
      <x:c r="D197" s="18" t="n">
        <x:v>1189.56</x:v>
      </x:c>
      <x:c r="E197" s="18" t="n">
        <x:v>1191.03</x:v>
      </x:c>
      <x:c r="F197" s="19" t="n">
        <x:v>76229</x:v>
      </x:c>
    </x:row>
    <x:row r="198">
      <x:c r="A198" s="17" t="n">
        <x:v>43348</x:v>
      </x:c>
      <x:c r="B198" s="18" t="n">
        <x:v>1191.72</x:v>
      </x:c>
      <x:c r="C198" s="18" t="n">
        <x:v>1198.37</x:v>
      </x:c>
      <x:c r="D198" s="18" t="n">
        <x:v>1190.79</x:v>
      </x:c>
      <x:c r="E198" s="18" t="n">
        <x:v>1196.48</x:v>
      </x:c>
      <x:c r="F198" s="19" t="n">
        <x:v>65696</x:v>
      </x:c>
    </x:row>
    <x:row r="199">
      <x:c r="A199" s="17" t="n">
        <x:v>43349</x:v>
      </x:c>
      <x:c r="B199" s="18" t="n">
        <x:v>1197.13</x:v>
      </x:c>
      <x:c r="C199" s="18" t="n">
        <x:v>1206.95</x:v>
      </x:c>
      <x:c r="D199" s="18" t="n">
        <x:v>1195.74</x:v>
      </x:c>
      <x:c r="E199" s="18" t="n">
        <x:v>1199.97</x:v>
      </x:c>
      <x:c r="F199" s="19" t="n">
        <x:v>88985</x:v>
      </x:c>
    </x:row>
    <x:row r="200">
      <x:c r="A200" s="17" t="n">
        <x:v>43350</x:v>
      </x:c>
      <x:c r="B200" s="18" t="n">
        <x:v>1200.33</x:v>
      </x:c>
      <x:c r="C200" s="18" t="n">
        <x:v>1203.48</x:v>
      </x:c>
      <x:c r="D200" s="18" t="n">
        <x:v>1193.41</x:v>
      </x:c>
      <x:c r="E200" s="18" t="n">
        <x:v>1195.83</x:v>
      </x:c>
      <x:c r="F200" s="19" t="n">
        <x:v>79092</x:v>
      </x:c>
    </x:row>
    <x:row r="201">
      <x:c r="A201" s="17" t="n">
        <x:v>43353</x:v>
      </x:c>
      <x:c r="B201" s="18" t="n">
        <x:v>1196.35</x:v>
      </x:c>
      <x:c r="C201" s="18" t="n">
        <x:v>1198.49</x:v>
      </x:c>
      <x:c r="D201" s="18" t="n">
        <x:v>1191.44</x:v>
      </x:c>
      <x:c r="E201" s="18" t="n">
        <x:v>1195.57</x:v>
      </x:c>
      <x:c r="F201" s="19" t="n">
        <x:v>60154</x:v>
      </x:c>
    </x:row>
    <x:row r="202">
      <x:c r="A202" s="17" t="n">
        <x:v>43354</x:v>
      </x:c>
      <x:c r="B202" s="18" t="n">
        <x:v>1195.46</x:v>
      </x:c>
      <x:c r="C202" s="18" t="n">
        <x:v>1199.32</x:v>
      </x:c>
      <x:c r="D202" s="18" t="n">
        <x:v>1187.66</x:v>
      </x:c>
      <x:c r="E202" s="18" t="n">
        <x:v>1198.37</x:v>
      </x:c>
      <x:c r="F202" s="19" t="n">
        <x:v>64425</x:v>
      </x:c>
    </x:row>
    <x:row r="203">
      <x:c r="A203" s="17" t="n">
        <x:v>43355</x:v>
      </x:c>
      <x:c r="B203" s="18" t="n">
        <x:v>1197.99</x:v>
      </x:c>
      <x:c r="C203" s="18" t="n">
        <x:v>1208.43</x:v>
      </x:c>
      <x:c r="D203" s="18" t="n">
        <x:v>1192.63</x:v>
      </x:c>
      <x:c r="E203" s="18" t="n">
        <x:v>1206.06</x:v>
      </x:c>
      <x:c r="F203" s="19" t="n">
        <x:v>67159</x:v>
      </x:c>
    </x:row>
    <x:row r="204">
      <x:c r="A204" s="17" t="n">
        <x:v>43356</x:v>
      </x:c>
      <x:c r="B204" s="18" t="n">
        <x:v>1206.47</x:v>
      </x:c>
      <x:c r="C204" s="18" t="n">
        <x:v>1212.6</x:v>
      </x:c>
      <x:c r="D204" s="18" t="n">
        <x:v>1200.07</x:v>
      </x:c>
      <x:c r="E204" s="18" t="n">
        <x:v>1201.26</x:v>
      </x:c>
      <x:c r="F204" s="19" t="n">
        <x:v>74782</x:v>
      </x:c>
    </x:row>
    <x:row r="205">
      <x:c r="A205" s="17" t="n">
        <x:v>43357</x:v>
      </x:c>
      <x:c r="B205" s="18" t="n">
        <x:v>1201.63</x:v>
      </x:c>
      <x:c r="C205" s="18" t="n">
        <x:v>1208.52</x:v>
      </x:c>
      <x:c r="D205" s="18" t="n">
        <x:v>1192.84</x:v>
      </x:c>
      <x:c r="E205" s="18" t="n">
        <x:v>1193.43</x:v>
      </x:c>
      <x:c r="F205" s="19" t="n">
        <x:v>74488</x:v>
      </x:c>
    </x:row>
    <x:row r="206">
      <x:c r="A206" s="17" t="n">
        <x:v>43360</x:v>
      </x:c>
      <x:c r="B206" s="18" t="n">
        <x:v>1193.67</x:v>
      </x:c>
      <x:c r="C206" s="18" t="n">
        <x:v>1204.77</x:v>
      </x:c>
      <x:c r="D206" s="18" t="n">
        <x:v>1192.75</x:v>
      </x:c>
      <x:c r="E206" s="18" t="n">
        <x:v>1200.93</x:v>
      </x:c>
      <x:c r="F206" s="19" t="n">
        <x:v>61098</x:v>
      </x:c>
    </x:row>
    <x:row r="207">
      <x:c r="A207" s="17" t="n">
        <x:v>43361</x:v>
      </x:c>
      <x:c r="B207" s="18" t="n">
        <x:v>1201.38</x:v>
      </x:c>
      <x:c r="C207" s="18" t="n">
        <x:v>1203.48</x:v>
      </x:c>
      <x:c r="D207" s="18" t="n">
        <x:v>1195.82</x:v>
      </x:c>
      <x:c r="E207" s="18" t="n">
        <x:v>1198.04</x:v>
      </x:c>
      <x:c r="F207" s="19" t="n">
        <x:v>80695</x:v>
      </x:c>
    </x:row>
    <x:row r="208">
      <x:c r="A208" s="17" t="n">
        <x:v>43362</x:v>
      </x:c>
      <x:c r="B208" s="18" t="n">
        <x:v>1197.95</x:v>
      </x:c>
      <x:c r="C208" s="18" t="n">
        <x:v>1206.16</x:v>
      </x:c>
      <x:c r="D208" s="18" t="n">
        <x:v>1197.92</x:v>
      </x:c>
      <x:c r="E208" s="18" t="n">
        <x:v>1203.68</x:v>
      </x:c>
      <x:c r="F208" s="19" t="n">
        <x:v>69378</x:v>
      </x:c>
    </x:row>
    <x:row r="209">
      <x:c r="A209" s="17" t="n">
        <x:v>43363</x:v>
      </x:c>
      <x:c r="B209" s="18" t="n">
        <x:v>1203.81</x:v>
      </x:c>
      <x:c r="C209" s="18" t="n">
        <x:v>1208.4</x:v>
      </x:c>
      <x:c r="D209" s="18" t="n">
        <x:v>1201.23</x:v>
      </x:c>
      <x:c r="E209" s="18" t="n">
        <x:v>1207.07</x:v>
      </x:c>
      <x:c r="F209" s="19" t="n">
        <x:v>69611</x:v>
      </x:c>
    </x:row>
    <x:row r="210">
      <x:c r="A210" s="17" t="n">
        <x:v>43364</x:v>
      </x:c>
      <x:c r="B210" s="18" t="n">
        <x:v>1206.75</x:v>
      </x:c>
      <x:c r="C210" s="18" t="n">
        <x:v>1211.03</x:v>
      </x:c>
      <x:c r="D210" s="18" t="n">
        <x:v>1191.78</x:v>
      </x:c>
      <x:c r="E210" s="18" t="n">
        <x:v>1199.1</x:v>
      </x:c>
      <x:c r="F210" s="19" t="n">
        <x:v>70594</x:v>
      </x:c>
    </x:row>
    <x:row r="211">
      <x:c r="A211" s="17" t="n">
        <x:v>43367</x:v>
      </x:c>
      <x:c r="B211" s="18" t="n">
        <x:v>1198.88</x:v>
      </x:c>
      <x:c r="C211" s="18" t="n">
        <x:v>1204.12</x:v>
      </x:c>
      <x:c r="D211" s="18" t="n">
        <x:v>1194.36</x:v>
      </x:c>
      <x:c r="E211" s="18" t="n">
        <x:v>1198.66</x:v>
      </x:c>
      <x:c r="F211" s="19" t="n">
        <x:v>52248</x:v>
      </x:c>
    </x:row>
    <x:row r="212">
      <x:c r="A212" s="17" t="n">
        <x:v>43368</x:v>
      </x:c>
      <x:c r="B212" s="18" t="n">
        <x:v>1198.93</x:v>
      </x:c>
      <x:c r="C212" s="18" t="n">
        <x:v>1203.34</x:v>
      </x:c>
      <x:c r="D212" s="18" t="n">
        <x:v>1197.01</x:v>
      </x:c>
      <x:c r="E212" s="18" t="n">
        <x:v>1201.06</x:v>
      </x:c>
      <x:c r="F212" s="19" t="n">
        <x:v>55189</x:v>
      </x:c>
    </x:row>
    <x:row r="213">
      <x:c r="A213" s="17" t="n">
        <x:v>43369</x:v>
      </x:c>
      <x:c r="B213" s="18" t="n">
        <x:v>1201.33</x:v>
      </x:c>
      <x:c r="C213" s="18" t="n">
        <x:v>1202.44</x:v>
      </x:c>
      <x:c r="D213" s="18" t="n">
        <x:v>1190.47</x:v>
      </x:c>
      <x:c r="E213" s="18" t="n">
        <x:v>1194.22</x:v>
      </x:c>
      <x:c r="F213" s="19" t="n">
        <x:v>87291</x:v>
      </x:c>
    </x:row>
    <x:row r="214">
      <x:c r="A214" s="17" t="n">
        <x:v>43370</x:v>
      </x:c>
      <x:c r="B214" s="18" t="n">
        <x:v>1194.83</x:v>
      </x:c>
      <x:c r="C214" s="18" t="n">
        <x:v>1198.52</x:v>
      </x:c>
      <x:c r="D214" s="18" t="n">
        <x:v>1181.84</x:v>
      </x:c>
      <x:c r="E214" s="18" t="n">
        <x:v>1182.52</x:v>
      </x:c>
      <x:c r="F214" s="19" t="n">
        <x:v>62745</x:v>
      </x:c>
    </x:row>
    <x:row r="215">
      <x:c r="A215" s="17" t="n">
        <x:v>43371</x:v>
      </x:c>
      <x:c r="B215" s="18" t="n">
        <x:v>1183.34</x:v>
      </x:c>
      <x:c r="C215" s="18" t="n">
        <x:v>1193.94</x:v>
      </x:c>
      <x:c r="D215" s="18" t="n">
        <x:v>1180.66</x:v>
      </x:c>
      <x:c r="E215" s="18" t="n">
        <x:v>1191.51</x:v>
      </x:c>
      <x:c r="F215" s="19" t="n">
        <x:v>64208</x:v>
      </x:c>
    </x:row>
    <x:row r="216">
      <x:c r="A216" s="17" t="n">
        <x:v>43374</x:v>
      </x:c>
      <x:c r="B216" s="18" t="n">
        <x:v>1191.89</x:v>
      </x:c>
      <x:c r="C216" s="18" t="n">
        <x:v>1192.15</x:v>
      </x:c>
      <x:c r="D216" s="18" t="n">
        <x:v>1184.51</x:v>
      </x:c>
      <x:c r="E216" s="18" t="n">
        <x:v>1188.66</x:v>
      </x:c>
      <x:c r="F216" s="19" t="n">
        <x:v>52576</x:v>
      </x:c>
    </x:row>
    <x:row r="217">
      <x:c r="A217" s="17" t="n">
        <x:v>43375</x:v>
      </x:c>
      <x:c r="B217" s="18" t="n">
        <x:v>1188.81</x:v>
      </x:c>
      <x:c r="C217" s="18" t="n">
        <x:v>1208.19</x:v>
      </x:c>
      <x:c r="D217" s="18" t="n">
        <x:v>1188.67</x:v>
      </x:c>
      <x:c r="E217" s="18" t="n">
        <x:v>1202.74</x:v>
      </x:c>
      <x:c r="F217" s="19" t="n">
        <x:v>69784</x:v>
      </x:c>
    </x:row>
    <x:row r="218">
      <x:c r="A218" s="17" t="n">
        <x:v>43376</x:v>
      </x:c>
      <x:c r="B218" s="18" t="n">
        <x:v>1203.98</x:v>
      </x:c>
      <x:c r="C218" s="18" t="n">
        <x:v>1208.25</x:v>
      </x:c>
      <x:c r="D218" s="18" t="n">
        <x:v>1196.43</x:v>
      </x:c>
      <x:c r="E218" s="18" t="n">
        <x:v>1196.85</x:v>
      </x:c>
      <x:c r="F218" s="19" t="n">
        <x:v>61515</x:v>
      </x:c>
    </x:row>
    <x:row r="219">
      <x:c r="A219" s="17" t="n">
        <x:v>43377</x:v>
      </x:c>
      <x:c r="B219" s="18" t="n">
        <x:v>1197.97</x:v>
      </x:c>
      <x:c r="C219" s="18" t="n">
        <x:v>1206.74</x:v>
      </x:c>
      <x:c r="D219" s="18" t="n">
        <x:v>1195.95</x:v>
      </x:c>
      <x:c r="E219" s="18" t="n">
        <x:v>1199.72</x:v>
      </x:c>
      <x:c r="F219" s="19" t="n">
        <x:v>70104</x:v>
      </x:c>
    </x:row>
    <x:row r="220">
      <x:c r="A220" s="17" t="n">
        <x:v>43378</x:v>
      </x:c>
      <x:c r="B220" s="18" t="n">
        <x:v>1199.65</x:v>
      </x:c>
      <x:c r="C220" s="18" t="n">
        <x:v>1205.76</x:v>
      </x:c>
      <x:c r="D220" s="18" t="n">
        <x:v>1197.2</x:v>
      </x:c>
      <x:c r="E220" s="18" t="n">
        <x:v>1202.75</x:v>
      </x:c>
      <x:c r="F220" s="19" t="n">
        <x:v>72912</x:v>
      </x:c>
    </x:row>
    <x:row r="221">
      <x:c r="A221" s="17" t="n">
        <x:v>43381</x:v>
      </x:c>
      <x:c r="B221" s="18" t="n">
        <x:v>1203.18</x:v>
      </x:c>
      <x:c r="C221" s="18" t="n">
        <x:v>1204.04</x:v>
      </x:c>
      <x:c r="D221" s="18" t="n">
        <x:v>1183.33</x:v>
      </x:c>
      <x:c r="E221" s="18" t="n">
        <x:v>1187.96</x:v>
      </x:c>
      <x:c r="F221" s="19" t="n">
        <x:v>37667</x:v>
      </x:c>
    </x:row>
    <x:row r="222">
      <x:c r="A222" s="17" t="n">
        <x:v>43382</x:v>
      </x:c>
      <x:c r="B222" s="18" t="n">
        <x:v>1188.2</x:v>
      </x:c>
      <x:c r="C222" s="18" t="n">
        <x:v>1191.81</x:v>
      </x:c>
      <x:c r="D222" s="18" t="n">
        <x:v>1183.16</x:v>
      </x:c>
      <x:c r="E222" s="18" t="n">
        <x:v>1189.48</x:v>
      </x:c>
      <x:c r="F222" s="19" t="n">
        <x:v>60546</x:v>
      </x:c>
    </x:row>
    <x:row r="223">
      <x:c r="A223" s="17" t="n">
        <x:v>43383</x:v>
      </x:c>
      <x:c r="B223" s="18" t="n">
        <x:v>1189.46</x:v>
      </x:c>
      <x:c r="C223" s="18" t="n">
        <x:v>1194.75</x:v>
      </x:c>
      <x:c r="D223" s="18" t="n">
        <x:v>1185.25</x:v>
      </x:c>
      <x:c r="E223" s="18" t="n">
        <x:v>1194.03</x:v>
      </x:c>
      <x:c r="F223" s="19" t="n">
        <x:v>60583</x:v>
      </x:c>
    </x:row>
    <x:row r="224">
      <x:c r="A224" s="17" t="n">
        <x:v>43384</x:v>
      </x:c>
      <x:c r="B224" s="18" t="n">
        <x:v>1194.18</x:v>
      </x:c>
      <x:c r="C224" s="18" t="n">
        <x:v>1226.3</x:v>
      </x:c>
      <x:c r="D224" s="18" t="n">
        <x:v>1191.22</x:v>
      </x:c>
      <x:c r="E224" s="18" t="n">
        <x:v>1224.82</x:v>
      </x:c>
      <x:c r="F224" s="19" t="n">
        <x:v>84466</x:v>
      </x:c>
    </x:row>
    <x:row r="225">
      <x:c r="A225" s="17" t="n">
        <x:v>43385</x:v>
      </x:c>
      <x:c r="B225" s="18" t="n">
        <x:v>1223.21</x:v>
      </x:c>
      <x:c r="C225" s="18" t="n">
        <x:v>1223.67</x:v>
      </x:c>
      <x:c r="D225" s="18" t="n">
        <x:v>1215.8</x:v>
      </x:c>
      <x:c r="E225" s="18" t="n">
        <x:v>1217.76</x:v>
      </x:c>
      <x:c r="F225" s="19" t="n">
        <x:v>63032</x:v>
      </x:c>
    </x:row>
    <x:row r="226">
      <x:c r="A226" s="17" t="n">
        <x:v>43388</x:v>
      </x:c>
      <x:c r="B226" s="18" t="n">
        <x:v>1217.78</x:v>
      </x:c>
      <x:c r="C226" s="18" t="n">
        <x:v>1233.22</x:v>
      </x:c>
      <x:c r="D226" s="18" t="n">
        <x:v>1217.74</x:v>
      </x:c>
      <x:c r="E226" s="18" t="n">
        <x:v>1226.81</x:v>
      </x:c>
      <x:c r="F226" s="19" t="n">
        <x:v>62824</x:v>
      </x:c>
    </x:row>
    <x:row r="227">
      <x:c r="A227" s="17" t="n">
        <x:v>43389</x:v>
      </x:c>
      <x:c r="B227" s="18" t="n">
        <x:v>1227.19</x:v>
      </x:c>
      <x:c r="C227" s="18" t="n">
        <x:v>1232.36</x:v>
      </x:c>
      <x:c r="D227" s="18" t="n">
        <x:v>1223.4</x:v>
      </x:c>
      <x:c r="E227" s="18" t="n">
        <x:v>1224.42</x:v>
      </x:c>
      <x:c r="F227" s="19" t="n">
        <x:v>58611</x:v>
      </x:c>
    </x:row>
    <x:row r="228">
      <x:c r="A228" s="17" t="n">
        <x:v>43390</x:v>
      </x:c>
      <x:c r="B228" s="18" t="n">
        <x:v>1224.87</x:v>
      </x:c>
      <x:c r="C228" s="18" t="n">
        <x:v>1229.43</x:v>
      </x:c>
      <x:c r="D228" s="18" t="n">
        <x:v>1220.53</x:v>
      </x:c>
      <x:c r="E228" s="18" t="n">
        <x:v>1222.21</x:v>
      </x:c>
      <x:c r="F228" s="19" t="n">
        <x:v>53881</x:v>
      </x:c>
    </x:row>
    <x:row r="229">
      <x:c r="A229" s="17" t="n">
        <x:v>43391</x:v>
      </x:c>
      <x:c r="B229" s="18" t="n">
        <x:v>1221.96</x:v>
      </x:c>
      <x:c r="C229" s="18" t="n">
        <x:v>1230.1</x:v>
      </x:c>
      <x:c r="D229" s="18" t="n">
        <x:v>1218.63</x:v>
      </x:c>
      <x:c r="E229" s="18" t="n">
        <x:v>1225.75</x:v>
      </x:c>
      <x:c r="F229" s="19" t="n">
        <x:v>61042</x:v>
      </x:c>
    </x:row>
    <x:row r="230">
      <x:c r="A230" s="17" t="n">
        <x:v>43392</x:v>
      </x:c>
      <x:c r="B230" s="18" t="n">
        <x:v>1225.47</x:v>
      </x:c>
      <x:c r="C230" s="18" t="n">
        <x:v>1230.75</x:v>
      </x:c>
      <x:c r="D230" s="18" t="n">
        <x:v>1223.02</x:v>
      </x:c>
      <x:c r="E230" s="18" t="n">
        <x:v>1226.38</x:v>
      </x:c>
      <x:c r="F230" s="19" t="n">
        <x:v>59969</x:v>
      </x:c>
    </x:row>
    <x:row r="231">
      <x:c r="A231" s="17" t="n">
        <x:v>43395</x:v>
      </x:c>
      <x:c r="B231" s="18" t="n">
        <x:v>1228</x:v>
      </x:c>
      <x:c r="C231" s="18" t="n">
        <x:v>1229.51</x:v>
      </x:c>
      <x:c r="D231" s="18" t="n">
        <x:v>1219.97</x:v>
      </x:c>
      <x:c r="E231" s="18" t="n">
        <x:v>1221.86</x:v>
      </x:c>
      <x:c r="F231" s="19" t="n">
        <x:v>50370</x:v>
      </x:c>
    </x:row>
    <x:row r="232">
      <x:c r="A232" s="17" t="n">
        <x:v>43396</x:v>
      </x:c>
      <x:c r="B232" s="18" t="n">
        <x:v>1222.05</x:v>
      </x:c>
      <x:c r="C232" s="18" t="n">
        <x:v>1239.71</x:v>
      </x:c>
      <x:c r="D232" s="18" t="n">
        <x:v>1221.65</x:v>
      </x:c>
      <x:c r="E232" s="18" t="n">
        <x:v>1230.34</x:v>
      </x:c>
      <x:c r="F232" s="19" t="n">
        <x:v>57126</x:v>
      </x:c>
    </x:row>
    <x:row r="233">
      <x:c r="A233" s="17" t="n">
        <x:v>43397</x:v>
      </x:c>
      <x:c r="B233" s="18" t="n">
        <x:v>1230.87</x:v>
      </x:c>
      <x:c r="C233" s="18" t="n">
        <x:v>1233.57</x:v>
      </x:c>
      <x:c r="D233" s="18" t="n">
        <x:v>1225.55</x:v>
      </x:c>
      <x:c r="E233" s="18" t="n">
        <x:v>1233.33</x:v>
      </x:c>
      <x:c r="F233" s="19" t="n">
        <x:v>59709</x:v>
      </x:c>
    </x:row>
    <x:row r="234">
      <x:c r="A234" s="17" t="n">
        <x:v>43398</x:v>
      </x:c>
      <x:c r="B234" s="18" t="n">
        <x:v>1233.92</x:v>
      </x:c>
      <x:c r="C234" s="18" t="n">
        <x:v>1239.14</x:v>
      </x:c>
      <x:c r="D234" s="18" t="n">
        <x:v>1228.05</x:v>
      </x:c>
      <x:c r="E234" s="18" t="n">
        <x:v>1231.86</x:v>
      </x:c>
      <x:c r="F234" s="19" t="n">
        <x:v>58668</x:v>
      </x:c>
    </x:row>
    <x:row r="235">
      <x:c r="A235" s="17" t="n">
        <x:v>43399</x:v>
      </x:c>
      <x:c r="B235" s="18" t="n">
        <x:v>1232.08</x:v>
      </x:c>
      <x:c r="C235" s="18" t="n">
        <x:v>1243.36</x:v>
      </x:c>
      <x:c r="D235" s="18" t="n">
        <x:v>1229.98</x:v>
      </x:c>
      <x:c r="E235" s="18" t="n">
        <x:v>1233.53</x:v>
      </x:c>
      <x:c r="F235" s="19" t="n">
        <x:v>84231</x:v>
      </x:c>
    </x:row>
    <x:row r="236">
      <x:c r="A236" s="17" t="n">
        <x:v>43402</x:v>
      </x:c>
      <x:c r="B236" s="18" t="n">
        <x:v>1232.96</x:v>
      </x:c>
      <x:c r="C236" s="18" t="n">
        <x:v>1235.34</x:v>
      </x:c>
      <x:c r="D236" s="18" t="n">
        <x:v>1224.25</x:v>
      </x:c>
      <x:c r="E236" s="18" t="n">
        <x:v>1229.47</x:v>
      </x:c>
      <x:c r="F236" s="19" t="n">
        <x:v>68326</x:v>
      </x:c>
    </x:row>
    <x:row r="237">
      <x:c r="A237" s="17" t="n">
        <x:v>43403</x:v>
      </x:c>
      <x:c r="B237" s="18" t="n">
        <x:v>1229.55</x:v>
      </x:c>
      <x:c r="C237" s="18" t="n">
        <x:v>1230.53</x:v>
      </x:c>
      <x:c r="D237" s="18" t="n">
        <x:v>1219.8</x:v>
      </x:c>
      <x:c r="E237" s="18" t="n">
        <x:v>1222.97</x:v>
      </x:c>
      <x:c r="F237" s="19" t="n">
        <x:v>52328</x:v>
      </x:c>
    </x:row>
    <x:row r="238">
      <x:c r="A238" s="17" t="n">
        <x:v>43404</x:v>
      </x:c>
      <x:c r="B238" s="18" t="n">
        <x:v>1222.4</x:v>
      </x:c>
      <x:c r="C238" s="18" t="n">
        <x:v>1222.96</x:v>
      </x:c>
      <x:c r="D238" s="18" t="n">
        <x:v>1211.93</x:v>
      </x:c>
      <x:c r="E238" s="18" t="n">
        <x:v>1214.48</x:v>
      </x:c>
      <x:c r="F238" s="19" t="n">
        <x:v>58086</x:v>
      </x:c>
    </x:row>
    <x:row r="239">
      <x:c r="A239" s="17" t="n">
        <x:v>43405</x:v>
      </x:c>
      <x:c r="B239" s="18" t="n">
        <x:v>1215.3</x:v>
      </x:c>
      <x:c r="C239" s="18" t="n">
        <x:v>1237.33</x:v>
      </x:c>
      <x:c r="D239" s="18" t="n">
        <x:v>1215.26</x:v>
      </x:c>
      <x:c r="E239" s="18" t="n">
        <x:v>1233.04</x:v>
      </x:c>
      <x:c r="F239" s="19" t="n">
        <x:v>66877</x:v>
      </x:c>
    </x:row>
    <x:row r="240">
      <x:c r="A240" s="17" t="n">
        <x:v>43406</x:v>
      </x:c>
      <x:c r="B240" s="18" t="n">
        <x:v>1234.29</x:v>
      </x:c>
      <x:c r="C240" s="18" t="n">
        <x:v>1236.37</x:v>
      </x:c>
      <x:c r="D240" s="18" t="n">
        <x:v>1229.67</x:v>
      </x:c>
      <x:c r="E240" s="18" t="n">
        <x:v>1232.75</x:v>
      </x:c>
      <x:c r="F240" s="19" t="n">
        <x:v>70496</x:v>
      </x:c>
    </x:row>
    <x:row r="241">
      <x:c r="A241" s="17" t="n">
        <x:v>43409</x:v>
      </x:c>
      <x:c r="B241" s="18" t="n">
        <x:v>1233.14</x:v>
      </x:c>
      <x:c r="C241" s="18" t="n">
        <x:v>1235.1</x:v>
      </x:c>
      <x:c r="D241" s="18" t="n">
        <x:v>1226.82</x:v>
      </x:c>
      <x:c r="E241" s="18" t="n">
        <x:v>1231.36</x:v>
      </x:c>
      <x:c r="F241" s="19" t="n">
        <x:v>51254</x:v>
      </x:c>
    </x:row>
    <x:row r="242">
      <x:c r="A242" s="17" t="n">
        <x:v>43410</x:v>
      </x:c>
      <x:c r="B242" s="18" t="n">
        <x:v>1231.31</x:v>
      </x:c>
      <x:c r="C242" s="18" t="n">
        <x:v>1235.89</x:v>
      </x:c>
      <x:c r="D242" s="18" t="n">
        <x:v>1223.44</x:v>
      </x:c>
      <x:c r="E242" s="18" t="n">
        <x:v>1227.03</x:v>
      </x:c>
      <x:c r="F242" s="19" t="n">
        <x:v>57608</x:v>
      </x:c>
    </x:row>
    <x:row r="243">
      <x:c r="A243" s="17" t="n">
        <x:v>43411</x:v>
      </x:c>
      <x:c r="B243" s="18" t="n">
        <x:v>1227.19</x:v>
      </x:c>
      <x:c r="C243" s="18" t="n">
        <x:v>1236.43</x:v>
      </x:c>
      <x:c r="D243" s="18" t="n">
        <x:v>1222.93</x:v>
      </x:c>
      <x:c r="E243" s="18" t="n">
        <x:v>1226.36</x:v>
      </x:c>
      <x:c r="F243" s="19" t="n">
        <x:v>86968</x:v>
      </x:c>
    </x:row>
    <x:row r="244">
      <x:c r="A244" s="17" t="n">
        <x:v>43412</x:v>
      </x:c>
      <x:c r="B244" s="18" t="n">
        <x:v>1226.39</x:v>
      </x:c>
      <x:c r="C244" s="18" t="n">
        <x:v>1227.03</x:v>
      </x:c>
      <x:c r="D244" s="18" t="n">
        <x:v>1219.98</x:v>
      </x:c>
      <x:c r="E244" s="18" t="n">
        <x:v>1223.37</x:v>
      </x:c>
      <x:c r="F244" s="19" t="n">
        <x:v>56146</x:v>
      </x:c>
    </x:row>
    <x:row r="245">
      <x:c r="A245" s="17" t="n">
        <x:v>43413</x:v>
      </x:c>
      <x:c r="B245" s="18" t="n">
        <x:v>1223.25</x:v>
      </x:c>
      <x:c r="C245" s="18" t="n">
        <x:v>1223.44</x:v>
      </x:c>
      <x:c r="D245" s="18" t="n">
        <x:v>1206.65</x:v>
      </x:c>
      <x:c r="E245" s="18" t="n">
        <x:v>1209.32</x:v>
      </x:c>
      <x:c r="F245" s="19" t="n">
        <x:v>58787</x:v>
      </x:c>
    </x:row>
    <x:row r="246">
      <x:c r="A246" s="17" t="n">
        <x:v>43416</x:v>
      </x:c>
      <x:c r="B246" s="18" t="n">
        <x:v>1209.41</x:v>
      </x:c>
      <x:c r="C246" s="18" t="n">
        <x:v>1211.39</x:v>
      </x:c>
      <x:c r="D246" s="18" t="n">
        <x:v>1200.16</x:v>
      </x:c>
      <x:c r="E246" s="18" t="n">
        <x:v>1200.16</x:v>
      </x:c>
      <x:c r="F246" s="19" t="n">
        <x:v>51033</x:v>
      </x:c>
    </x:row>
    <x:row r="247">
      <x:c r="A247" s="17" t="n">
        <x:v>43417</x:v>
      </x:c>
      <x:c r="B247" s="18" t="n">
        <x:v>1201.1</x:v>
      </x:c>
      <x:c r="C247" s="18" t="n">
        <x:v>1205.11</x:v>
      </x:c>
      <x:c r="D247" s="18" t="n">
        <x:v>1196.21</x:v>
      </x:c>
      <x:c r="E247" s="18" t="n">
        <x:v>1201.99</x:v>
      </x:c>
      <x:c r="F247" s="19" t="n">
        <x:v>59864</x:v>
      </x:c>
    </x:row>
    <x:row r="248">
      <x:c r="A248" s="17" t="n">
        <x:v>43418</x:v>
      </x:c>
      <x:c r="B248" s="18" t="n">
        <x:v>1202.63</x:v>
      </x:c>
      <x:c r="C248" s="18" t="n">
        <x:v>1216.49</x:v>
      </x:c>
      <x:c r="D248" s="18" t="n">
        <x:v>1197.64</x:v>
      </x:c>
      <x:c r="E248" s="18" t="n">
        <x:v>1210.54</x:v>
      </x:c>
      <x:c r="F248" s="19" t="n">
        <x:v>76536</x:v>
      </x:c>
    </x:row>
    <x:row r="249">
      <x:c r="A249" s="17" t="n">
        <x:v>43419</x:v>
      </x:c>
      <x:c r="B249" s="18" t="n">
        <x:v>1210.99</x:v>
      </x:c>
      <x:c r="C249" s="18" t="n">
        <x:v>1216.42</x:v>
      </x:c>
      <x:c r="D249" s="18" t="n">
        <x:v>1207.66</x:v>
      </x:c>
      <x:c r="E249" s="18" t="n">
        <x:v>1212.69</x:v>
      </x:c>
      <x:c r="F249" s="19" t="n">
        <x:v>68387</x:v>
      </x:c>
    </x:row>
    <x:row r="250">
      <x:c r="A250" s="17" t="n">
        <x:v>43420</x:v>
      </x:c>
      <x:c r="B250" s="18" t="n">
        <x:v>1213.25</x:v>
      </x:c>
      <x:c r="C250" s="18" t="n">
        <x:v>1225.23</x:v>
      </x:c>
      <x:c r="D250" s="18" t="n">
        <x:v>1213.1</x:v>
      </x:c>
      <x:c r="E250" s="18" t="n">
        <x:v>1221.2</x:v>
      </x:c>
      <x:c r="F250" s="19" t="n">
        <x:v>59300</x:v>
      </x:c>
    </x:row>
    <x:row r="251">
      <x:c r="A251" s="17" t="n">
        <x:v>43423</x:v>
      </x:c>
      <x:c r="B251" s="18" t="n">
        <x:v>1221.94</x:v>
      </x:c>
      <x:c r="C251" s="18" t="n">
        <x:v>1225.16</x:v>
      </x:c>
      <x:c r="D251" s="18" t="n">
        <x:v>1217.97</x:v>
      </x:c>
      <x:c r="E251" s="18" t="n">
        <x:v>1223.85</x:v>
      </x:c>
      <x:c r="F251" s="19" t="n">
        <x:v>50688</x:v>
      </x:c>
    </x:row>
    <x:row r="252">
      <x:c r="A252" s="17" t="n">
        <x:v>43424</x:v>
      </x:c>
      <x:c r="B252" s="18" t="n">
        <x:v>1223.83</x:v>
      </x:c>
      <x:c r="C252" s="18" t="n">
        <x:v>1228.7</x:v>
      </x:c>
      <x:c r="D252" s="18" t="n">
        <x:v>1219.93</x:v>
      </x:c>
      <x:c r="E252" s="18" t="n">
        <x:v>1221.52</x:v>
      </x:c>
      <x:c r="F252" s="19" t="n">
        <x:v>66031</x:v>
      </x:c>
    </x:row>
    <x:row r="253">
      <x:c r="A253" s="17" t="n">
        <x:v>43425</x:v>
      </x:c>
      <x:c r="B253" s="18" t="n">
        <x:v>1221.85</x:v>
      </x:c>
      <x:c r="C253" s="18" t="n">
        <x:v>1230.03</x:v>
      </x:c>
      <x:c r="D253" s="18" t="n">
        <x:v>1219.65</x:v>
      </x:c>
      <x:c r="E253" s="18" t="n">
        <x:v>1225.82</x:v>
      </x:c>
      <x:c r="F253" s="19" t="n">
        <x:v>51457</x:v>
      </x:c>
    </x:row>
    <x:row r="254">
      <x:c r="A254" s="17" t="n">
        <x:v>43426</x:v>
      </x:c>
      <x:c r="B254" s="18" t="n">
        <x:v>1225.42</x:v>
      </x:c>
      <x:c r="C254" s="18" t="n">
        <x:v>1229.06</x:v>
      </x:c>
      <x:c r="D254" s="18" t="n">
        <x:v>1224.81</x:v>
      </x:c>
      <x:c r="E254" s="18" t="n">
        <x:v>1226.96</x:v>
      </x:c>
      <x:c r="F254" s="19" t="n">
        <x:v>34363</x:v>
      </x:c>
    </x:row>
    <x:row r="255">
      <x:c r="A255" s="17" t="n">
        <x:v>43427</x:v>
      </x:c>
      <x:c r="B255" s="18" t="n">
        <x:v>1226.98</x:v>
      </x:c>
      <x:c r="C255" s="18" t="n">
        <x:v>1228.49</x:v>
      </x:c>
      <x:c r="D255" s="18" t="n">
        <x:v>1219.88</x:v>
      </x:c>
      <x:c r="E255" s="18" t="n">
        <x:v>1222.51</x:v>
      </x:c>
      <x:c r="F255" s="19" t="n">
        <x:v>43894</x:v>
      </x:c>
    </x:row>
    <x:row r="256">
      <x:c r="A256" s="17" t="n">
        <x:v>43430</x:v>
      </x:c>
      <x:c r="B256" s="18" t="n">
        <x:v>1223.38</x:v>
      </x:c>
      <x:c r="C256" s="18" t="n">
        <x:v>1228.07</x:v>
      </x:c>
      <x:c r="D256" s="18" t="n">
        <x:v>1221.65</x:v>
      </x:c>
      <x:c r="E256" s="18" t="n">
        <x:v>1222.15</x:v>
      </x:c>
      <x:c r="F256" s="19" t="n">
        <x:v>47348</x:v>
      </x:c>
    </x:row>
    <x:row r="257">
      <x:c r="A257" s="17" t="n">
        <x:v>43431</x:v>
      </x:c>
      <x:c r="B257" s="18" t="n">
        <x:v>1222.38</x:v>
      </x:c>
      <x:c r="C257" s="18" t="n">
        <x:v>1225.21</x:v>
      </x:c>
      <x:c r="D257" s="18" t="n">
        <x:v>1211.82</x:v>
      </x:c>
      <x:c r="E257" s="18" t="n">
        <x:v>1214.47</x:v>
      </x:c>
      <x:c r="F257" s="19" t="n">
        <x:v>50906</x:v>
      </x:c>
    </x:row>
    <x:row r="258">
      <x:c r="A258" s="17" t="n">
        <x:v>43432</x:v>
      </x:c>
      <x:c r="B258" s="18" t="n">
        <x:v>1214.92</x:v>
      </x:c>
      <x:c r="C258" s="18" t="n">
        <x:v>1226.65</x:v>
      </x:c>
      <x:c r="D258" s="18" t="n">
        <x:v>1211.15</x:v>
      </x:c>
      <x:c r="E258" s="18" t="n">
        <x:v>1221.06</x:v>
      </x:c>
      <x:c r="F258" s="19" t="n">
        <x:v>51784</x:v>
      </x:c>
    </x:row>
    <x:row r="259">
      <x:c r="A259" s="17" t="n">
        <x:v>43433</x:v>
      </x:c>
      <x:c r="B259" s="18" t="n">
        <x:v>1220.51</x:v>
      </x:c>
      <x:c r="C259" s="18" t="n">
        <x:v>1228.91</x:v>
      </x:c>
      <x:c r="D259" s="18" t="n">
        <x:v>1220.42</x:v>
      </x:c>
      <x:c r="E259" s="18" t="n">
        <x:v>1224.03</x:v>
      </x:c>
      <x:c r="F259" s="19" t="n">
        <x:v>60007</x:v>
      </x:c>
    </x:row>
    <x:row r="260">
      <x:c r="A260" s="17" t="n">
        <x:v>43434</x:v>
      </x:c>
      <x:c r="B260" s="18" t="n">
        <x:v>1224.08</x:v>
      </x:c>
      <x:c r="C260" s="18" t="n">
        <x:v>1225.49</x:v>
      </x:c>
      <x:c r="D260" s="18" t="n">
        <x:v>1216.62</x:v>
      </x:c>
      <x:c r="E260" s="18" t="n">
        <x:v>1221.96</x:v>
      </x:c>
      <x:c r="F260" s="19" t="n">
        <x:v>52149</x:v>
      </x:c>
    </x:row>
    <x:row r="261">
      <x:c r="A261" s="17" t="n">
        <x:v>43437</x:v>
      </x:c>
      <x:c r="B261" s="18" t="n">
        <x:v>1222.91</x:v>
      </x:c>
      <x:c r="C261" s="18" t="n">
        <x:v>1234.86</x:v>
      </x:c>
      <x:c r="D261" s="18" t="n">
        <x:v>1221.25</x:v>
      </x:c>
      <x:c r="E261" s="18" t="n">
        <x:v>1230.84</x:v>
      </x:c>
      <x:c r="F261" s="19" t="n">
        <x:v>60510</x:v>
      </x:c>
    </x:row>
    <x:row r="262">
      <x:c r="A262" s="17" t="n">
        <x:v>43438</x:v>
      </x:c>
      <x:c r="B262" s="18" t="n">
        <x:v>1230.67</x:v>
      </x:c>
      <x:c r="C262" s="18" t="n">
        <x:v>1241.89</x:v>
      </x:c>
      <x:c r="D262" s="18" t="n">
        <x:v>1230.38</x:v>
      </x:c>
      <x:c r="E262" s="18" t="n">
        <x:v>1238.54</x:v>
      </x:c>
      <x:c r="F262" s="19" t="n">
        <x:v>65890</x:v>
      </x:c>
    </x:row>
    <x:row r="263">
      <x:c r="A263" s="17" t="n">
        <x:v>43439</x:v>
      </x:c>
      <x:c r="B263" s="18" t="n">
        <x:v>1238.54</x:v>
      </x:c>
      <x:c r="C263" s="18" t="n">
        <x:v>1239.2</x:v>
      </x:c>
      <x:c r="D263" s="18" t="n">
        <x:v>1233.25</x:v>
      </x:c>
      <x:c r="E263" s="18" t="n">
        <x:v>1237.06</x:v>
      </x:c>
      <x:c r="F263" s="19" t="n">
        <x:v>29802</x:v>
      </x:c>
    </x:row>
    <x:row r="264">
      <x:c r="A264" s="17" t="n">
        <x:v>43440</x:v>
      </x:c>
      <x:c r="B264" s="18" t="n">
        <x:v>1237.26</x:v>
      </x:c>
      <x:c r="C264" s="18" t="n">
        <x:v>1244.29</x:v>
      </x:c>
      <x:c r="D264" s="18" t="n">
        <x:v>1234.68</x:v>
      </x:c>
      <x:c r="E264" s="18" t="n">
        <x:v>1237.76</x:v>
      </x:c>
      <x:c r="F264" s="19" t="n">
        <x:v>76720</x:v>
      </x:c>
    </x:row>
    <x:row r="265">
      <x:c r="A265" s="17" t="n">
        <x:v>43441</x:v>
      </x:c>
      <x:c r="B265" s="18" t="n">
        <x:v>1237.72</x:v>
      </x:c>
      <x:c r="C265" s="18" t="n">
        <x:v>1249.98</x:v>
      </x:c>
      <x:c r="D265" s="18" t="n">
        <x:v>1237.24</x:v>
      </x:c>
      <x:c r="E265" s="18" t="n">
        <x:v>1248.41</x:v>
      </x:c>
      <x:c r="F265" s="19" t="n">
        <x:v>61676</x:v>
      </x:c>
    </x:row>
    <x:row r="266">
      <x:c r="A266" s="17" t="n">
        <x:v>43444</x:v>
      </x:c>
      <x:c r="B266" s="18" t="n">
        <x:v>1250.4</x:v>
      </x:c>
      <x:c r="C266" s="18" t="n">
        <x:v>1250.49</x:v>
      </x:c>
      <x:c r="D266" s="18" t="n">
        <x:v>1241.55</x:v>
      </x:c>
      <x:c r="E266" s="18" t="n">
        <x:v>1244.09</x:v>
      </x:c>
      <x:c r="F266" s="19" t="n">
        <x:v>70502</x:v>
      </x:c>
    </x:row>
    <x:row r="267">
      <x:c r="A267" s="17" t="n">
        <x:v>43445</x:v>
      </x:c>
      <x:c r="B267" s="18" t="n">
        <x:v>1244.78</x:v>
      </x:c>
      <x:c r="C267" s="18" t="n">
        <x:v>1249.46</x:v>
      </x:c>
      <x:c r="D267" s="18" t="n">
        <x:v>1240.96</x:v>
      </x:c>
      <x:c r="E267" s="18" t="n">
        <x:v>1242.83</x:v>
      </x:c>
      <x:c r="F267" s="19" t="n">
        <x:v>75476</x:v>
      </x:c>
    </x:row>
    <x:row r="268">
      <x:c r="A268" s="17" t="n">
        <x:v>43446</x:v>
      </x:c>
      <x:c r="B268" s="18" t="n">
        <x:v>1243.15</x:v>
      </x:c>
      <x:c r="C268" s="18" t="n">
        <x:v>1247.19</x:v>
      </x:c>
      <x:c r="D268" s="18" t="n">
        <x:v>1241.93</x:v>
      </x:c>
      <x:c r="E268" s="18" t="n">
        <x:v>1245.39</x:v>
      </x:c>
      <x:c r="F268" s="19" t="n">
        <x:v>59387</x:v>
      </x:c>
    </x:row>
    <x:row r="269">
      <x:c r="A269" s="17" t="n">
        <x:v>43447</x:v>
      </x:c>
      <x:c r="B269" s="18" t="n">
        <x:v>1245.73</x:v>
      </x:c>
      <x:c r="C269" s="18" t="n">
        <x:v>1246.68</x:v>
      </x:c>
      <x:c r="D269" s="18" t="n">
        <x:v>1240.05</x:v>
      </x:c>
      <x:c r="E269" s="18" t="n">
        <x:v>1242</x:v>
      </x:c>
      <x:c r="F269" s="19" t="n">
        <x:v>62080</x:v>
      </x:c>
    </x:row>
    <x:row r="270">
      <x:c r="A270" s="17" t="n">
        <x:v>43448</x:v>
      </x:c>
      <x:c r="B270" s="18" t="n">
        <x:v>1241.71</x:v>
      </x:c>
      <x:c r="C270" s="18" t="n">
        <x:v>1242.95</x:v>
      </x:c>
      <x:c r="D270" s="18" t="n">
        <x:v>1232.89</x:v>
      </x:c>
      <x:c r="E270" s="18" t="n">
        <x:v>1238</x:v>
      </x:c>
      <x:c r="F270" s="19" t="n">
        <x:v>64452</x:v>
      </x:c>
    </x:row>
    <x:row r="271">
      <x:c r="A271" s="17" t="n">
        <x:v>43451</x:v>
      </x:c>
      <x:c r="B271" s="18" t="n">
        <x:v>1237.33</x:v>
      </x:c>
      <x:c r="C271" s="18" t="n">
        <x:v>1248.06</x:v>
      </x:c>
      <x:c r="D271" s="18" t="n">
        <x:v>1235.47</x:v>
      </x:c>
      <x:c r="E271" s="18" t="n">
        <x:v>1245.8</x:v>
      </x:c>
      <x:c r="F271" s="19" t="n">
        <x:v>45136</x:v>
      </x:c>
    </x:row>
    <x:row r="272">
      <x:c r="A272" s="17" t="n">
        <x:v>43452</x:v>
      </x:c>
      <x:c r="B272" s="18" t="n">
        <x:v>1245.69</x:v>
      </x:c>
      <x:c r="C272" s="18" t="n">
        <x:v>1250.33</x:v>
      </x:c>
      <x:c r="D272" s="18" t="n">
        <x:v>1244.97</x:v>
      </x:c>
      <x:c r="E272" s="18" t="n">
        <x:v>1249.37</x:v>
      </x:c>
      <x:c r="F272" s="19" t="n">
        <x:v>57195</x:v>
      </x:c>
    </x:row>
    <x:row r="273">
      <x:c r="A273" s="17" t="n">
        <x:v>43453</x:v>
      </x:c>
      <x:c r="B273" s="18" t="n">
        <x:v>1249.78</x:v>
      </x:c>
      <x:c r="C273" s="18" t="n">
        <x:v>1257.99</x:v>
      </x:c>
      <x:c r="D273" s="18" t="n">
        <x:v>1241.61</x:v>
      </x:c>
      <x:c r="E273" s="18" t="n">
        <x:v>1242.98</x:v>
      </x:c>
      <x:c r="F273" s="19" t="n">
        <x:v>77529</x:v>
      </x:c>
    </x:row>
    <x:row r="274">
      <x:c r="A274" s="17" t="n">
        <x:v>43454</x:v>
      </x:c>
      <x:c r="B274" s="18" t="n">
        <x:v>1244.23</x:v>
      </x:c>
      <x:c r="C274" s="18" t="n">
        <x:v>1266.43</x:v>
      </x:c>
      <x:c r="D274" s="18" t="n">
        <x:v>1242.68</x:v>
      </x:c>
      <x:c r="E274" s="18" t="n">
        <x:v>1259.69</x:v>
      </x:c>
      <x:c r="F274" s="19" t="n">
        <x:v>61651</x:v>
      </x:c>
    </x:row>
    <x:row r="275">
      <x:c r="A275" s="17" t="n">
        <x:v>43455</x:v>
      </x:c>
      <x:c r="B275" s="18" t="n">
        <x:v>1260.51</x:v>
      </x:c>
      <x:c r="C275" s="18" t="n">
        <x:v>1262.7</x:v>
      </x:c>
      <x:c r="D275" s="18" t="n">
        <x:v>1253.85</x:v>
      </x:c>
      <x:c r="E275" s="18" t="n">
        <x:v>1255.38</x:v>
      </x:c>
      <x:c r="F275" s="19" t="n">
        <x:v>49285</x:v>
      </x:c>
    </x:row>
    <x:row r="276">
      <x:c r="A276" s="17" t="n">
        <x:v>43458</x:v>
      </x:c>
      <x:c r="B276" s="18" t="n">
        <x:v>1258.48</x:v>
      </x:c>
      <x:c r="C276" s="18" t="n">
        <x:v>1269.75</x:v>
      </x:c>
      <x:c r="D276" s="18" t="n">
        <x:v>1257.89</x:v>
      </x:c>
      <x:c r="E276" s="18" t="n">
        <x:v>1268.3</x:v>
      </x:c>
      <x:c r="F276" s="19" t="n">
        <x:v>35322</x:v>
      </x:c>
    </x:row>
    <x:row r="277">
      <x:c r="A277" s="17" t="n">
        <x:v>43460</x:v>
      </x:c>
      <x:c r="B277" s="18" t="n">
        <x:v>1272.38</x:v>
      </x:c>
      <x:c r="C277" s="18" t="n">
        <x:v>1279.05</x:v>
      </x:c>
      <x:c r="D277" s="18" t="n">
        <x:v>1264.46</x:v>
      </x:c>
      <x:c r="E277" s="18" t="n">
        <x:v>1266.78</x:v>
      </x:c>
      <x:c r="F277" s="19" t="n">
        <x:v>40974</x:v>
      </x:c>
    </x:row>
    <x:row r="278">
      <x:c r="A278" s="17" t="n">
        <x:v>43461</x:v>
      </x:c>
      <x:c r="B278" s="18" t="n">
        <x:v>1266.65</x:v>
      </x:c>
      <x:c r="C278" s="18" t="n">
        <x:v>1278.92</x:v>
      </x:c>
      <x:c r="D278" s="18" t="n">
        <x:v>1265.51</x:v>
      </x:c>
      <x:c r="E278" s="18" t="n">
        <x:v>1275.5</x:v>
      </x:c>
      <x:c r="F278" s="19" t="n">
        <x:v>51120</x:v>
      </x:c>
    </x:row>
    <x:row r="279">
      <x:c r="A279" s="17" t="n">
        <x:v>43462</x:v>
      </x:c>
      <x:c r="B279" s="18" t="n">
        <x:v>1275.35</x:v>
      </x:c>
      <x:c r="C279" s="18" t="n">
        <x:v>1282.1</x:v>
      </x:c>
      <x:c r="D279" s="18" t="n">
        <x:v>1274.2</x:v>
      </x:c>
      <x:c r="E279" s="18" t="n">
        <x:v>1280.59</x:v>
      </x:c>
      <x:c r="F279" s="19" t="n">
        <x:v>44994</x:v>
      </x:c>
    </x:row>
    <x:row r="280">
      <x:c r="A280" s="17" t="n">
        <x:v>43465</x:v>
      </x:c>
      <x:c r="B280" s="18" t="n">
        <x:v>1279.92</x:v>
      </x:c>
      <x:c r="C280" s="18" t="n">
        <x:v>1284.02</x:v>
      </x:c>
      <x:c r="D280" s="18" t="n">
        <x:v>1277.38</x:v>
      </x:c>
      <x:c r="E280" s="18" t="n">
        <x:v>1279.48</x:v>
      </x:c>
      <x:c r="F280" s="19" t="n">
        <x:v>29631</x:v>
      </x:c>
    </x:row>
    <x:row r="281">
      <x:c r="A281" s="17" t="n">
        <x:v>43467</x:v>
      </x:c>
      <x:c r="B281" s="18" t="n">
        <x:v>1282.21</x:v>
      </x:c>
      <x:c r="C281" s="18" t="n">
        <x:v>1288.7</x:v>
      </x:c>
      <x:c r="D281" s="18" t="n">
        <x:v>1278.64</x:v>
      </x:c>
      <x:c r="E281" s="18" t="n">
        <x:v>1284.6</x:v>
      </x:c>
      <x:c r="F281" s="19" t="n">
        <x:v>39271</x:v>
      </x:c>
    </x:row>
    <x:row r="282">
      <x:c r="A282" s="17" t="n">
        <x:v>43468</x:v>
      </x:c>
      <x:c r="B282" s="18" t="n">
        <x:v>1287.68</x:v>
      </x:c>
      <x:c r="C282" s="18" t="n">
        <x:v>1294.96</x:v>
      </x:c>
      <x:c r="D282" s="18" t="n">
        <x:v>1284.5</x:v>
      </x:c>
      <x:c r="E282" s="18" t="n">
        <x:v>1293.97</x:v>
      </x:c>
      <x:c r="F282" s="19" t="n">
        <x:v>57318</x:v>
      </x:c>
    </x:row>
    <x:row r="283">
      <x:c r="A283" s="17" t="n">
        <x:v>43469</x:v>
      </x:c>
      <x:c r="B283" s="18" t="n">
        <x:v>1293.66</x:v>
      </x:c>
      <x:c r="C283" s="18" t="n">
        <x:v>1298.52</x:v>
      </x:c>
      <x:c r="D283" s="18" t="n">
        <x:v>1276.54</x:v>
      </x:c>
      <x:c r="E283" s="18" t="n">
        <x:v>1284.53</x:v>
      </x:c>
      <x:c r="F283" s="19" t="n">
        <x:v>61565</x:v>
      </x:c>
    </x:row>
    <x:row r="284">
      <x:c r="A284" s="17" t="n">
        <x:v>43472</x:v>
      </x:c>
      <x:c r="B284" s="18" t="n">
        <x:v>1285.34</x:v>
      </x:c>
      <x:c r="C284" s="18" t="n">
        <x:v>1295.03</x:v>
      </x:c>
      <x:c r="D284" s="18" t="n">
        <x:v>1282.56</x:v>
      </x:c>
      <x:c r="E284" s="18" t="n">
        <x:v>1288.72</x:v>
      </x:c>
      <x:c r="F284" s="19" t="n">
        <x:v>46553</x:v>
      </x:c>
    </x:row>
    <x:row r="285">
      <x:c r="A285" s="17" t="n">
        <x:v>43473</x:v>
      </x:c>
      <x:c r="B285" s="18" t="n">
        <x:v>1289.16</x:v>
      </x:c>
      <x:c r="C285" s="18" t="n">
        <x:v>1290.18</x:v>
      </x:c>
      <x:c r="D285" s="18" t="n">
        <x:v>1279.31</x:v>
      </x:c>
      <x:c r="E285" s="18" t="n">
        <x:v>1285.04</x:v>
      </x:c>
      <x:c r="F285" s="19" t="n">
        <x:v>43237</x:v>
      </x:c>
    </x:row>
    <x:row r="286">
      <x:c r="A286" s="17" t="n">
        <x:v>43474</x:v>
      </x:c>
      <x:c r="B286" s="18" t="n">
        <x:v>1284.62</x:v>
      </x:c>
      <x:c r="C286" s="18" t="n">
        <x:v>1293.9</x:v>
      </x:c>
      <x:c r="D286" s="18" t="n">
        <x:v>1280.01</x:v>
      </x:c>
      <x:c r="E286" s="18" t="n">
        <x:v>1292.93</x:v>
      </x:c>
      <x:c r="F286" s="19" t="n">
        <x:v>50186</x:v>
      </x:c>
    </x:row>
    <x:row r="287">
      <x:c r="A287" s="17" t="n">
        <x:v>43475</x:v>
      </x:c>
      <x:c r="B287" s="18" t="n">
        <x:v>1292.98</x:v>
      </x:c>
      <x:c r="C287" s="18" t="n">
        <x:v>1297.03</x:v>
      </x:c>
      <x:c r="D287" s="18" t="n">
        <x:v>1286.03</x:v>
      </x:c>
      <x:c r="E287" s="18" t="n">
        <x:v>1286.1</x:v>
      </x:c>
      <x:c r="F287" s="19" t="n">
        <x:v>42686</x:v>
      </x:c>
    </x:row>
    <x:row r="288">
      <x:c r="A288" s="17" t="n">
        <x:v>43476</x:v>
      </x:c>
      <x:c r="B288" s="18" t="n">
        <x:v>1286.75</x:v>
      </x:c>
      <x:c r="C288" s="18" t="n">
        <x:v>1295.12</x:v>
      </x:c>
      <x:c r="D288" s="18" t="n">
        <x:v>1286.72</x:v>
      </x:c>
      <x:c r="E288" s="18" t="n">
        <x:v>1287.39</x:v>
      </x:c>
      <x:c r="F288" s="19" t="n">
        <x:v>37019</x:v>
      </x:c>
    </x:row>
    <x:row r="289">
      <x:c r="A289" s="17" t="n">
        <x:v>43479</x:v>
      </x:c>
      <x:c r="B289" s="18" t="n">
        <x:v>1288.04</x:v>
      </x:c>
      <x:c r="C289" s="18" t="n">
        <x:v>1295.79</x:v>
      </x:c>
      <x:c r="D289" s="18" t="n">
        <x:v>1287.77</x:v>
      </x:c>
      <x:c r="E289" s="18" t="n">
        <x:v>1291.37</x:v>
      </x:c>
      <x:c r="F289" s="19" t="n">
        <x:v>37149</x:v>
      </x:c>
    </x:row>
    <x:row r="290">
      <x:c r="A290" s="17" t="n">
        <x:v>43480</x:v>
      </x:c>
      <x:c r="B290" s="18" t="n">
        <x:v>1292.4</x:v>
      </x:c>
      <x:c r="C290" s="18" t="n">
        <x:v>1294.59</x:v>
      </x:c>
      <x:c r="D290" s="18" t="n">
        <x:v>1286.71</x:v>
      </x:c>
      <x:c r="E290" s="18" t="n">
        <x:v>1288.92</x:v>
      </x:c>
      <x:c r="F290" s="19" t="n">
        <x:v>42365</x:v>
      </x:c>
    </x:row>
    <x:row r="291">
      <x:c r="A291" s="17" t="n">
        <x:v>43481</x:v>
      </x:c>
      <x:c r="B291" s="18" t="n">
        <x:v>1289.58</x:v>
      </x:c>
      <x:c r="C291" s="18" t="n">
        <x:v>1294.95</x:v>
      </x:c>
      <x:c r="D291" s="18" t="n">
        <x:v>1287.78</x:v>
      </x:c>
      <x:c r="E291" s="18" t="n">
        <x:v>1293.62</x:v>
      </x:c>
      <x:c r="F291" s="19" t="n">
        <x:v>37703</x:v>
      </x:c>
    </x:row>
    <x:row r="292">
      <x:c r="A292" s="17" t="n">
        <x:v>43482</x:v>
      </x:c>
      <x:c r="B292" s="18" t="n">
        <x:v>1293.7</x:v>
      </x:c>
      <x:c r="C292" s="18" t="n">
        <x:v>1295.33</x:v>
      </x:c>
      <x:c r="D292" s="18" t="n">
        <x:v>1288.67</x:v>
      </x:c>
      <x:c r="E292" s="18" t="n">
        <x:v>1291.78</x:v>
      </x:c>
      <x:c r="F292" s="19" t="n">
        <x:v>37454</x:v>
      </x:c>
    </x:row>
    <x:row r="293">
      <x:c r="A293" s="17" t="n">
        <x:v>43483</x:v>
      </x:c>
      <x:c r="B293" s="18" t="n">
        <x:v>1292.24</x:v>
      </x:c>
      <x:c r="C293" s="18" t="n">
        <x:v>1292.4</x:v>
      </x:c>
      <x:c r="D293" s="18" t="n">
        <x:v>1280.56</x:v>
      </x:c>
      <x:c r="E293" s="18" t="n">
        <x:v>1281.18</x:v>
      </x:c>
      <x:c r="F293" s="19" t="n">
        <x:v>36426</x:v>
      </x:c>
    </x:row>
    <x:row r="294">
      <x:c r="A294" s="17" t="n">
        <x:v>43486</x:v>
      </x:c>
      <x:c r="B294" s="18" t="n">
        <x:v>1282.53</x:v>
      </x:c>
      <x:c r="C294" s="18" t="n">
        <x:v>1283.47</x:v>
      </x:c>
      <x:c r="D294" s="18" t="n">
        <x:v>1276.76</x:v>
      </x:c>
      <x:c r="E294" s="18" t="n">
        <x:v>1280.03</x:v>
      </x:c>
      <x:c r="F294" s="19" t="n">
        <x:v>22469</x:v>
      </x:c>
    </x:row>
    <x:row r="295">
      <x:c r="A295" s="17" t="n">
        <x:v>43487</x:v>
      </x:c>
      <x:c r="B295" s="18" t="n">
        <x:v>1280.14</x:v>
      </x:c>
      <x:c r="C295" s="18" t="n">
        <x:v>1285.41</x:v>
      </x:c>
      <x:c r="D295" s="18" t="n">
        <x:v>1277.35</x:v>
      </x:c>
      <x:c r="E295" s="18" t="n">
        <x:v>1284.97</x:v>
      </x:c>
      <x:c r="F295" s="19" t="n">
        <x:v>33935</x:v>
      </x:c>
    </x:row>
    <x:row r="296">
      <x:c r="A296" s="17" t="n">
        <x:v>43488</x:v>
      </x:c>
      <x:c r="B296" s="18" t="n">
        <x:v>1284.9</x:v>
      </x:c>
      <x:c r="C296" s="18" t="n">
        <x:v>1286.47</x:v>
      </x:c>
      <x:c r="D296" s="18" t="n">
        <x:v>1278.59</x:v>
      </x:c>
      <x:c r="E296" s="18" t="n">
        <x:v>1282.42</x:v>
      </x:c>
      <x:c r="F296" s="19" t="n">
        <x:v>29596</x:v>
      </x:c>
    </x:row>
    <x:row r="297">
      <x:c r="A297" s="17" t="n">
        <x:v>43489</x:v>
      </x:c>
      <x:c r="B297" s="18" t="n">
        <x:v>1282.78</x:v>
      </x:c>
      <x:c r="C297" s="18" t="n">
        <x:v>1284.71</x:v>
      </x:c>
      <x:c r="D297" s="18" t="n">
        <x:v>1276.7</x:v>
      </x:c>
      <x:c r="E297" s="18" t="n">
        <x:v>1280.75</x:v>
      </x:c>
      <x:c r="F297" s="19" t="n">
        <x:v>33915</x:v>
      </x:c>
    </x:row>
    <x:row r="298">
      <x:c r="A298" s="17" t="n">
        <x:v>43490</x:v>
      </x:c>
      <x:c r="B298" s="18" t="n">
        <x:v>1280.33</x:v>
      </x:c>
      <x:c r="C298" s="18" t="n">
        <x:v>1303.91</x:v>
      </x:c>
      <x:c r="D298" s="18" t="n">
        <x:v>1279.89</x:v>
      </x:c>
      <x:c r="E298" s="18" t="n">
        <x:v>1302.79</x:v>
      </x:c>
      <x:c r="F298" s="19" t="n">
        <x:v>39372</x:v>
      </x:c>
    </x:row>
    <x:row r="299">
      <x:c r="A299" s="17" t="n">
        <x:v>43493</x:v>
      </x:c>
      <x:c r="B299" s="18" t="n">
        <x:v>1302.27</x:v>
      </x:c>
      <x:c r="C299" s="18" t="n">
        <x:v>1304.35</x:v>
      </x:c>
      <x:c r="D299" s="18" t="n">
        <x:v>1297.56</x:v>
      </x:c>
      <x:c r="E299" s="18" t="n">
        <x:v>1303.21</x:v>
      </x:c>
      <x:c r="F299" s="19" t="n">
        <x:v>30687</x:v>
      </x:c>
    </x:row>
    <x:row r="300">
      <x:c r="A300" s="17" t="n">
        <x:v>43494</x:v>
      </x:c>
      <x:c r="B300" s="18" t="n">
        <x:v>1303.12</x:v>
      </x:c>
      <x:c r="C300" s="18" t="n">
        <x:v>1311.94</x:v>
      </x:c>
      <x:c r="D300" s="18" t="n">
        <x:v>1302.66</x:v>
      </x:c>
      <x:c r="E300" s="18" t="n">
        <x:v>1311.66</x:v>
      </x:c>
      <x:c r="F300" s="19" t="n">
        <x:v>36066</x:v>
      </x:c>
    </x:row>
    <x:row r="301">
      <x:c r="A301" s="17" t="n">
        <x:v>43495</x:v>
      </x:c>
      <x:c r="B301" s="18" t="n">
        <x:v>1311.51</x:v>
      </x:c>
      <x:c r="C301" s="18" t="n">
        <x:v>1323.37</x:v>
      </x:c>
      <x:c r="D301" s="18" t="n">
        <x:v>1308.92</x:v>
      </x:c>
      <x:c r="E301" s="18" t="n">
        <x:v>1319.59</x:v>
      </x:c>
      <x:c r="F301" s="19" t="n">
        <x:v>44860</x:v>
      </x:c>
    </x:row>
    <x:row r="302">
      <x:c r="A302" s="17" t="n">
        <x:v>43496</x:v>
      </x:c>
      <x:c r="B302" s="18" t="n">
        <x:v>1320.3</x:v>
      </x:c>
      <x:c r="C302" s="18" t="n">
        <x:v>1326.25</x:v>
      </x:c>
      <x:c r="D302" s="18" t="n">
        <x:v>1317.36</x:v>
      </x:c>
      <x:c r="E302" s="18" t="n">
        <x:v>1321.05</x:v>
      </x:c>
      <x:c r="F302" s="19" t="n">
        <x:v>43609</x:v>
      </x:c>
    </x:row>
    <x:row r="303">
      <x:c r="A303" s="17" t="n">
        <x:v>43497</x:v>
      </x:c>
      <x:c r="B303" s="18" t="n">
        <x:v>1320.95</x:v>
      </x:c>
      <x:c r="C303" s="18" t="n">
        <x:v>1323.44</x:v>
      </x:c>
      <x:c r="D303" s="18" t="n">
        <x:v>1316.06</x:v>
      </x:c>
      <x:c r="E303" s="18" t="n">
        <x:v>1317.71</x:v>
      </x:c>
      <x:c r="F303" s="19" t="n">
        <x:v>40010</x:v>
      </x:c>
    </x:row>
    <x:row r="304">
      <x:c r="A304" s="17" t="n">
        <x:v>43500</x:v>
      </x:c>
      <x:c r="B304" s="18" t="n">
        <x:v>1317.6</x:v>
      </x:c>
      <x:c r="C304" s="18" t="n">
        <x:v>1317.89</x:v>
      </x:c>
      <x:c r="D304" s="18" t="n">
        <x:v>1308.53</x:v>
      </x:c>
      <x:c r="E304" s="18" t="n">
        <x:v>1311.96</x:v>
      </x:c>
      <x:c r="F304" s="19" t="n">
        <x:v>32119</x:v>
      </x:c>
    </x:row>
    <x:row r="305">
      <x:c r="A305" s="17" t="n">
        <x:v>43501</x:v>
      </x:c>
      <x:c r="B305" s="18" t="n">
        <x:v>1311.76</x:v>
      </x:c>
      <x:c r="C305" s="18" t="n">
        <x:v>1316.77</x:v>
      </x:c>
      <x:c r="D305" s="18" t="n">
        <x:v>1310.66</x:v>
      </x:c>
      <x:c r="E305" s="18" t="n">
        <x:v>1314.87</x:v>
      </x:c>
      <x:c r="F305" s="19" t="n">
        <x:v>30404</x:v>
      </x:c>
    </x:row>
    <x:row r="306">
      <x:c r="A306" s="17" t="n">
        <x:v>43502</x:v>
      </x:c>
      <x:c r="B306" s="18" t="n">
        <x:v>1314.6</x:v>
      </x:c>
      <x:c r="C306" s="18" t="n">
        <x:v>1315.74</x:v>
      </x:c>
      <x:c r="D306" s="18" t="n">
        <x:v>1305.53</x:v>
      </x:c>
      <x:c r="E306" s="18" t="n">
        <x:v>1306.33</x:v>
      </x:c>
      <x:c r="F306" s="19" t="n">
        <x:v>28894</x:v>
      </x:c>
    </x:row>
    <x:row r="307">
      <x:c r="A307" s="17" t="n">
        <x:v>43503</x:v>
      </x:c>
      <x:c r="B307" s="18" t="n">
        <x:v>1307.41</x:v>
      </x:c>
      <x:c r="C307" s="18" t="n">
        <x:v>1311.9</x:v>
      </x:c>
      <x:c r="D307" s="18" t="n">
        <x:v>1302.73</x:v>
      </x:c>
      <x:c r="E307" s="18" t="n">
        <x:v>1309.95</x:v>
      </x:c>
      <x:c r="F307" s="19" t="n">
        <x:v>34320</x:v>
      </x:c>
    </x:row>
    <x:row r="308">
      <x:c r="A308" s="17" t="n">
        <x:v>43504</x:v>
      </x:c>
      <x:c r="B308" s="18" t="n">
        <x:v>1309.96</x:v>
      </x:c>
      <x:c r="C308" s="18" t="n">
        <x:v>1315.6</x:v>
      </x:c>
      <x:c r="D308" s="18" t="n">
        <x:v>1307.72</x:v>
      </x:c>
      <x:c r="E308" s="18" t="n">
        <x:v>1313.95</x:v>
      </x:c>
      <x:c r="F308" s="19" t="n">
        <x:v>28521</x:v>
      </x:c>
    </x:row>
    <x:row r="309">
      <x:c r="A309" s="17" t="n">
        <x:v>43507</x:v>
      </x:c>
      <x:c r="B309" s="18" t="n">
        <x:v>1313.14</x:v>
      </x:c>
      <x:c r="C309" s="18" t="n">
        <x:v>1314.8</x:v>
      </x:c>
      <x:c r="D309" s="18" t="n">
        <x:v>1303.59</x:v>
      </x:c>
      <x:c r="E309" s="18" t="n">
        <x:v>1308.1</x:v>
      </x:c>
      <x:c r="F309" s="19" t="n">
        <x:v>30756</x:v>
      </x:c>
    </x:row>
    <x:row r="310">
      <x:c r="A310" s="17" t="n">
        <x:v>43508</x:v>
      </x:c>
      <x:c r="B310" s="18" t="n">
        <x:v>1307.39</x:v>
      </x:c>
      <x:c r="C310" s="18" t="n">
        <x:v>1314.68</x:v>
      </x:c>
      <x:c r="D310" s="18" t="n">
        <x:v>1306.45</x:v>
      </x:c>
      <x:c r="E310" s="18" t="n">
        <x:v>1310.57</x:v>
      </x:c>
      <x:c r="F310" s="19" t="n">
        <x:v>31972</x:v>
      </x:c>
    </x:row>
    <x:row r="311">
      <x:c r="A311" s="17" t="n">
        <x:v>43509</x:v>
      </x:c>
      <x:c r="B311" s="18" t="n">
        <x:v>1311.12</x:v>
      </x:c>
      <x:c r="C311" s="18" t="n">
        <x:v>1318.11</x:v>
      </x:c>
      <x:c r="D311" s="18" t="n">
        <x:v>1304.94</x:v>
      </x:c>
      <x:c r="E311" s="18" t="n">
        <x:v>1305.88</x:v>
      </x:c>
      <x:c r="F311" s="19" t="n">
        <x:v>38150</x:v>
      </x:c>
    </x:row>
    <x:row r="312">
      <x:c r="A312" s="17" t="n">
        <x:v>43510</x:v>
      </x:c>
      <x:c r="B312" s="18" t="n">
        <x:v>1306.46</x:v>
      </x:c>
      <x:c r="C312" s="18" t="n">
        <x:v>1314.31</x:v>
      </x:c>
      <x:c r="D312" s="18" t="n">
        <x:v>1302.34</x:v>
      </x:c>
      <x:c r="E312" s="18" t="n">
        <x:v>1312.21</x:v>
      </x:c>
      <x:c r="F312" s="19" t="n">
        <x:v>42537</x:v>
      </x:c>
    </x:row>
    <x:row r="313">
      <x:c r="A313" s="17" t="n">
        <x:v>43511</x:v>
      </x:c>
      <x:c r="B313" s="18" t="n">
        <x:v>1312.61</x:v>
      </x:c>
      <x:c r="C313" s="18" t="n">
        <x:v>1322.57</x:v>
      </x:c>
      <x:c r="D313" s="18" t="n">
        <x:v>1311.29</x:v>
      </x:c>
      <x:c r="E313" s="18" t="n">
        <x:v>1321.26</x:v>
      </x:c>
      <x:c r="F313" s="19" t="n">
        <x:v>39684</x:v>
      </x:c>
    </x:row>
    <x:row r="314">
      <x:c r="A314" s="17" t="n">
        <x:v>43514</x:v>
      </x:c>
      <x:c r="B314" s="18" t="n">
        <x:v>1317.36</x:v>
      </x:c>
      <x:c r="C314" s="18" t="n">
        <x:v>1327.61</x:v>
      </x:c>
      <x:c r="D314" s="18" t="n">
        <x:v>1315.81</x:v>
      </x:c>
      <x:c r="E314" s="18" t="n">
        <x:v>1326.06</x:v>
      </x:c>
      <x:c r="F314" s="19" t="n">
        <x:v>24647</x:v>
      </x:c>
    </x:row>
    <x:row r="315">
      <x:c r="A315" s="17" t="n">
        <x:v>43515</x:v>
      </x:c>
      <x:c r="B315" s="18" t="n">
        <x:v>1326.23</x:v>
      </x:c>
      <x:c r="C315" s="18" t="n">
        <x:v>1341.81</x:v>
      </x:c>
      <x:c r="D315" s="18" t="n">
        <x:v>1322.81</x:v>
      </x:c>
      <x:c r="E315" s="18" t="n">
        <x:v>1341.16</x:v>
      </x:c>
      <x:c r="F315" s="19" t="n">
        <x:v>40578</x:v>
      </x:c>
    </x:row>
    <x:row r="316">
      <x:c r="A316" s="17" t="n">
        <x:v>43516</x:v>
      </x:c>
      <x:c r="B316" s="18" t="n">
        <x:v>1339.91</x:v>
      </x:c>
      <x:c r="C316" s="18" t="n">
        <x:v>1346.66</x:v>
      </x:c>
      <x:c r="D316" s="18" t="n">
        <x:v>1336.83</x:v>
      </x:c>
      <x:c r="E316" s="18" t="n">
        <x:v>1338.2</x:v>
      </x:c>
      <x:c r="F316" s="19" t="n">
        <x:v>44124</x:v>
      </x:c>
    </x:row>
    <x:row r="317">
      <x:c r="A317" s="17" t="n">
        <x:v>43517</x:v>
      </x:c>
      <x:c r="B317" s="18" t="n">
        <x:v>1339.03</x:v>
      </x:c>
      <x:c r="C317" s="18" t="n">
        <x:v>1341.43</x:v>
      </x:c>
      <x:c r="D317" s="18" t="n">
        <x:v>1320.88</x:v>
      </x:c>
      <x:c r="E317" s="18" t="n">
        <x:v>1323.3</x:v>
      </x:c>
      <x:c r="F317" s="19" t="n">
        <x:v>45926</x:v>
      </x:c>
    </x:row>
    <x:row r="318">
      <x:c r="A318" s="17" t="n">
        <x:v>43518</x:v>
      </x:c>
      <x:c r="B318" s="18" t="n">
        <x:v>1324.22</x:v>
      </x:c>
      <x:c r="C318" s="18" t="n">
        <x:v>1333.05</x:v>
      </x:c>
      <x:c r="D318" s="18" t="n">
        <x:v>1321.5</x:v>
      </x:c>
      <x:c r="E318" s="18" t="n">
        <x:v>1327.56</x:v>
      </x:c>
      <x:c r="F318" s="19" t="n">
        <x:v>42277</x:v>
      </x:c>
    </x:row>
    <x:row r="319">
      <x:c r="A319" s="17" t="n">
        <x:v>43521</x:v>
      </x:c>
      <x:c r="B319" s="18" t="n">
        <x:v>1327.47</x:v>
      </x:c>
      <x:c r="C319" s="18" t="n">
        <x:v>1332.51</x:v>
      </x:c>
      <x:c r="D319" s="18" t="n">
        <x:v>1325.07</x:v>
      </x:c>
      <x:c r="E319" s="18" t="n">
        <x:v>1327.24</x:v>
      </x:c>
      <x:c r="F319" s="19" t="n">
        <x:v>39118</x:v>
      </x:c>
    </x:row>
    <x:row r="320">
      <x:c r="A320" s="17" t="n">
        <x:v>43522</x:v>
      </x:c>
      <x:c r="B320" s="18" t="n">
        <x:v>1327.22</x:v>
      </x:c>
      <x:c r="C320" s="18" t="n">
        <x:v>1330.15</x:v>
      </x:c>
      <x:c r="D320" s="18" t="n">
        <x:v>1323.43</x:v>
      </x:c>
      <x:c r="E320" s="18" t="n">
        <x:v>1328.69</x:v>
      </x:c>
      <x:c r="F320" s="19" t="n">
        <x:v>37082</x:v>
      </x:c>
    </x:row>
    <x:row r="321">
      <x:c r="A321" s="17" t="n">
        <x:v>43523</x:v>
      </x:c>
      <x:c r="B321" s="18" t="n">
        <x:v>1329.03</x:v>
      </x:c>
      <x:c r="C321" s="18" t="n">
        <x:v>1329.81</x:v>
      </x:c>
      <x:c r="D321" s="18" t="n">
        <x:v>1316.57</x:v>
      </x:c>
      <x:c r="E321" s="18" t="n">
        <x:v>1319.62</x:v>
      </x:c>
      <x:c r="F321" s="19" t="n">
        <x:v>30898</x:v>
      </x:c>
    </x:row>
    <x:row r="322">
      <x:c r="A322" s="17" t="n">
        <x:v>43524</x:v>
      </x:c>
      <x:c r="B322" s="18" t="n">
        <x:v>1319.99</x:v>
      </x:c>
      <x:c r="C322" s="18" t="n">
        <x:v>1327.22</x:v>
      </x:c>
      <x:c r="D322" s="18" t="n">
        <x:v>1312.55</x:v>
      </x:c>
      <x:c r="E322" s="18" t="n">
        <x:v>1313.08</x:v>
      </x:c>
      <x:c r="F322" s="19" t="n">
        <x:v>44328</x:v>
      </x:c>
    </x:row>
    <x:row r="323">
      <x:c r="A323" s="17" t="n">
        <x:v>43525</x:v>
      </x:c>
      <x:c r="B323" s="18" t="n">
        <x:v>1314.15</x:v>
      </x:c>
      <x:c r="C323" s="18" t="n">
        <x:v>1315.17</x:v>
      </x:c>
      <x:c r="D323" s="18" t="n">
        <x:v>1290.12</x:v>
      </x:c>
      <x:c r="E323" s="18" t="n">
        <x:v>1293.42</x:v>
      </x:c>
      <x:c r="F323" s="19" t="n">
        <x:v>44869</x:v>
      </x:c>
    </x:row>
    <x:row r="324">
      <x:c r="A324" s="17" t="n">
        <x:v>43528</x:v>
      </x:c>
      <x:c r="B324" s="18" t="n">
        <x:v>1295.06</x:v>
      </x:c>
      <x:c r="C324" s="18" t="n">
        <x:v>1296.96</x:v>
      </x:c>
      <x:c r="D324" s="18" t="n">
        <x:v>1282.8</x:v>
      </x:c>
      <x:c r="E324" s="18" t="n">
        <x:v>1286.46</x:v>
      </x:c>
      <x:c r="F324" s="19" t="n">
        <x:v>40156</x:v>
      </x:c>
    </x:row>
    <x:row r="325">
      <x:c r="A325" s="17" t="n">
        <x:v>43529</x:v>
      </x:c>
      <x:c r="B325" s="18" t="n">
        <x:v>1286.88</x:v>
      </x:c>
      <x:c r="C325" s="18" t="n">
        <x:v>1289.55</x:v>
      </x:c>
      <x:c r="D325" s="18" t="n">
        <x:v>1281.13</x:v>
      </x:c>
      <x:c r="E325" s="18" t="n">
        <x:v>1287.38</x:v>
      </x:c>
      <x:c r="F325" s="19" t="n">
        <x:v>37932</x:v>
      </x:c>
    </x:row>
    <x:row r="326">
      <x:c r="A326" s="17" t="n">
        <x:v>43530</x:v>
      </x:c>
      <x:c r="B326" s="18" t="n">
        <x:v>1287.23</x:v>
      </x:c>
      <x:c r="C326" s="18" t="n">
        <x:v>1290.86</x:v>
      </x:c>
      <x:c r="D326" s="18" t="n">
        <x:v>1283.49</x:v>
      </x:c>
      <x:c r="E326" s="18" t="n">
        <x:v>1286.15</x:v>
      </x:c>
      <x:c r="F326" s="19" t="n">
        <x:v>36348</x:v>
      </x:c>
    </x:row>
    <x:row r="327">
      <x:c r="A327" s="17" t="n">
        <x:v>43531</x:v>
      </x:c>
      <x:c r="B327" s="18" t="n">
        <x:v>1286.52</x:v>
      </x:c>
      <x:c r="C327" s="18" t="n">
        <x:v>1288.99</x:v>
      </x:c>
      <x:c r="D327" s="18" t="n">
        <x:v>1280.77</x:v>
      </x:c>
      <x:c r="E327" s="18" t="n">
        <x:v>1285.33</x:v>
      </x:c>
      <x:c r="F327" s="19" t="n">
        <x:v>39802</x:v>
      </x:c>
    </x:row>
    <x:row r="328">
      <x:c r="A328" s="17" t="n">
        <x:v>43532</x:v>
      </x:c>
      <x:c r="B328" s="18" t="n">
        <x:v>1284.52</x:v>
      </x:c>
      <x:c r="C328" s="18" t="n">
        <x:v>1300.69</x:v>
      </x:c>
      <x:c r="D328" s="18" t="n">
        <x:v>1284.41</x:v>
      </x:c>
      <x:c r="E328" s="18" t="n">
        <x:v>1298.23</x:v>
      </x:c>
      <x:c r="F328" s="19" t="n">
        <x:v>44398</x:v>
      </x:c>
    </x:row>
    <x:row r="329">
      <x:c r="A329" s="17" t="n">
        <x:v>43535</x:v>
      </x:c>
      <x:c r="B329" s="18" t="n">
        <x:v>1296.85</x:v>
      </x:c>
      <x:c r="C329" s="18" t="n">
        <x:v>1299.04</x:v>
      </x:c>
      <x:c r="D329" s="18" t="n">
        <x:v>1290.42</x:v>
      </x:c>
      <x:c r="E329" s="18" t="n">
        <x:v>1293.27</x:v>
      </x:c>
      <x:c r="F329" s="19" t="n">
        <x:v>32454</x:v>
      </x:c>
    </x:row>
    <x:row r="330">
      <x:c r="A330" s="17" t="n">
        <x:v>43536</x:v>
      </x:c>
      <x:c r="B330" s="18" t="n">
        <x:v>1293.04</x:v>
      </x:c>
      <x:c r="C330" s="18" t="n">
        <x:v>1302.19</x:v>
      </x:c>
      <x:c r="D330" s="18" t="n">
        <x:v>1291.96</x:v>
      </x:c>
      <x:c r="E330" s="18" t="n">
        <x:v>1301.15</x:v>
      </x:c>
      <x:c r="F330" s="19" t="n">
        <x:v>31873</x:v>
      </x:c>
    </x:row>
    <x:row r="331">
      <x:c r="A331" s="17" t="n">
        <x:v>43537</x:v>
      </x:c>
      <x:c r="B331" s="18" t="n">
        <x:v>1300.91</x:v>
      </x:c>
      <x:c r="C331" s="18" t="n">
        <x:v>1311.19</x:v>
      </x:c>
      <x:c r="D331" s="18" t="n">
        <x:v>1300.87</x:v>
      </x:c>
      <x:c r="E331" s="18" t="n">
        <x:v>1309.1</x:v>
      </x:c>
      <x:c r="F331" s="19" t="n">
        <x:v>31237</x:v>
      </x:c>
    </x:row>
    <x:row r="332">
      <x:c r="A332" s="17" t="n">
        <x:v>43538</x:v>
      </x:c>
      <x:c r="B332" s="18" t="n">
        <x:v>1309.79</x:v>
      </x:c>
      <x:c r="C332" s="18" t="n">
        <x:v>1310.31</x:v>
      </x:c>
      <x:c r="D332" s="18" t="n">
        <x:v>1292.73</x:v>
      </x:c>
      <x:c r="E332" s="18" t="n">
        <x:v>1296.08</x:v>
      </x:c>
      <x:c r="F332" s="19" t="n">
        <x:v>33687</x:v>
      </x:c>
    </x:row>
    <x:row r="333">
      <x:c r="A333" s="17" t="n">
        <x:v>43539</x:v>
      </x:c>
      <x:c r="B333" s="18" t="n">
        <x:v>1296.09</x:v>
      </x:c>
      <x:c r="C333" s="18" t="n">
        <x:v>1306.36</x:v>
      </x:c>
      <x:c r="D333" s="18" t="n">
        <x:v>1293.93</x:v>
      </x:c>
      <x:c r="E333" s="18" t="n">
        <x:v>1301.92</x:v>
      </x:c>
      <x:c r="F333" s="19" t="n">
        <x:v>33130</x:v>
      </x:c>
    </x:row>
    <x:row r="334">
      <x:c r="A334" s="17" t="n">
        <x:v>43542</x:v>
      </x:c>
      <x:c r="B334" s="18" t="n">
        <x:v>1302.24</x:v>
      </x:c>
      <x:c r="C334" s="18" t="n">
        <x:v>1306.67</x:v>
      </x:c>
      <x:c r="D334" s="18" t="n">
        <x:v>1298.13</x:v>
      </x:c>
      <x:c r="E334" s="18" t="n">
        <x:v>1303.41</x:v>
      </x:c>
      <x:c r="F334" s="19" t="n">
        <x:v>29029</x:v>
      </x:c>
    </x:row>
    <x:row r="335">
      <x:c r="A335" s="17" t="n">
        <x:v>43543</x:v>
      </x:c>
      <x:c r="B335" s="18" t="n">
        <x:v>1303.35</x:v>
      </x:c>
      <x:c r="C335" s="18" t="n">
        <x:v>1310.87</x:v>
      </x:c>
      <x:c r="D335" s="18" t="n">
        <x:v>1302.27</x:v>
      </x:c>
      <x:c r="E335" s="18" t="n">
        <x:v>1306.41</x:v>
      </x:c>
      <x:c r="F335" s="19" t="n">
        <x:v>32840</x:v>
      </x:c>
    </x:row>
    <x:row r="336">
      <x:c r="A336" s="17" t="n">
        <x:v>43544</x:v>
      </x:c>
      <x:c r="B336" s="18" t="n">
        <x:v>1306.63</x:v>
      </x:c>
      <x:c r="C336" s="18" t="n">
        <x:v>1316.98</x:v>
      </x:c>
      <x:c r="D336" s="18" t="n">
        <x:v>1298.57</x:v>
      </x:c>
      <x:c r="E336" s="18" t="n">
        <x:v>1312.34</x:v>
      </x:c>
      <x:c r="F336" s="19" t="n">
        <x:v>40670</x:v>
      </x:c>
    </x:row>
    <x:row r="337">
      <x:c r="A337" s="17" t="n">
        <x:v>43545</x:v>
      </x:c>
      <x:c r="B337" s="18" t="n">
        <x:v>1314.15</x:v>
      </x:c>
      <x:c r="C337" s="18" t="n">
        <x:v>1320.35</x:v>
      </x:c>
      <x:c r="D337" s="18" t="n">
        <x:v>1303.16</x:v>
      </x:c>
      <x:c r="E337" s="18" t="n">
        <x:v>1309.28</x:v>
      </x:c>
      <x:c r="F337" s="19" t="n">
        <x:v>40550</x:v>
      </x:c>
    </x:row>
    <x:row r="338">
      <x:c r="A338" s="17" t="n">
        <x:v>43546</x:v>
      </x:c>
      <x:c r="B338" s="18" t="n">
        <x:v>1309.15</x:v>
      </x:c>
      <x:c r="C338" s="18" t="n">
        <x:v>1314.92</x:v>
      </x:c>
      <x:c r="D338" s="18" t="n">
        <x:v>1306.79</x:v>
      </x:c>
      <x:c r="E338" s="18" t="n">
        <x:v>1313.07</x:v>
      </x:c>
      <x:c r="F338" s="19" t="n">
        <x:v>42107</x:v>
      </x:c>
    </x:row>
    <x:row r="339">
      <x:c r="A339" s="17" t="n">
        <x:v>43549</x:v>
      </x:c>
      <x:c r="B339" s="18" t="n">
        <x:v>1312.19</x:v>
      </x:c>
      <x:c r="C339" s="18" t="n">
        <x:v>1324.49</x:v>
      </x:c>
      <x:c r="D339" s="18" t="n">
        <x:v>1310.91</x:v>
      </x:c>
      <x:c r="E339" s="18" t="n">
        <x:v>1322.01</x:v>
      </x:c>
      <x:c r="F339" s="19" t="n">
        <x:v>36116</x:v>
      </x:c>
    </x:row>
    <x:row r="340">
      <x:c r="A340" s="17" t="n">
        <x:v>43550</x:v>
      </x:c>
      <x:c r="B340" s="18" t="n">
        <x:v>1321.89</x:v>
      </x:c>
      <x:c r="C340" s="18" t="n">
        <x:v>1323.21</x:v>
      </x:c>
      <x:c r="D340" s="18" t="n">
        <x:v>1312.63</x:v>
      </x:c>
      <x:c r="E340" s="18" t="n">
        <x:v>1315.1</x:v>
      </x:c>
      <x:c r="F340" s="19" t="n">
        <x:v>33737</x:v>
      </x:c>
    </x:row>
    <x:row r="341">
      <x:c r="A341" s="17" t="n">
        <x:v>43551</x:v>
      </x:c>
      <x:c r="B341" s="18" t="n">
        <x:v>1316.56</x:v>
      </x:c>
      <x:c r="C341" s="18" t="n">
        <x:v>1319.27</x:v>
      </x:c>
      <x:c r="D341" s="18" t="n">
        <x:v>1308.02</x:v>
      </x:c>
      <x:c r="E341" s="18" t="n">
        <x:v>1309.63</x:v>
      </x:c>
      <x:c r="F341" s="19" t="n">
        <x:v>49515</x:v>
      </x:c>
    </x:row>
    <x:row r="342">
      <x:c r="A342" s="17" t="n">
        <x:v>43552</x:v>
      </x:c>
      <x:c r="B342" s="18" t="n">
        <x:v>1309.31</x:v>
      </x:c>
      <x:c r="C342" s="18" t="n">
        <x:v>1312.24</x:v>
      </x:c>
      <x:c r="D342" s="18" t="n">
        <x:v>1288.48</x:v>
      </x:c>
      <x:c r="E342" s="18" t="n">
        <x:v>1289.87</x:v>
      </x:c>
      <x:c r="F342" s="19" t="n">
        <x:v>40599</x:v>
      </x:c>
    </x:row>
    <x:row r="343">
      <x:c r="A343" s="17" t="n">
        <x:v>43553</x:v>
      </x:c>
      <x:c r="B343" s="18" t="n">
        <x:v>1291.03</x:v>
      </x:c>
      <x:c r="C343" s="18" t="n">
        <x:v>1299.71</x:v>
      </x:c>
      <x:c r="D343" s="18" t="n">
        <x:v>1286.66</x:v>
      </x:c>
      <x:c r="E343" s="18" t="n">
        <x:v>1292.16</x:v>
      </x:c>
      <x:c r="F343" s="19" t="n">
        <x:v>36253</x:v>
      </x:c>
    </x:row>
    <x:row r="344">
      <x:c r="A344" s="17" t="n">
        <x:v>43556</x:v>
      </x:c>
      <x:c r="B344" s="18" t="n">
        <x:v>1292.15</x:v>
      </x:c>
      <x:c r="C344" s="18" t="n">
        <x:v>1296.97</x:v>
      </x:c>
      <x:c r="D344" s="18" t="n">
        <x:v>1286.37</x:v>
      </x:c>
      <x:c r="E344" s="18" t="n">
        <x:v>1287.3</x:v>
      </x:c>
      <x:c r="F344" s="19" t="n">
        <x:v>35818</x:v>
      </x:c>
    </x:row>
    <x:row r="345">
      <x:c r="A345" s="17" t="n">
        <x:v>43557</x:v>
      </x:c>
      <x:c r="B345" s="18" t="n">
        <x:v>1287.35</x:v>
      </x:c>
      <x:c r="C345" s="18" t="n">
        <x:v>1292.41</x:v>
      </x:c>
      <x:c r="D345" s="18" t="n">
        <x:v>1285.24</x:v>
      </x:c>
      <x:c r="E345" s="18" t="n">
        <x:v>1292.34</x:v>
      </x:c>
      <x:c r="F345" s="19" t="n">
        <x:v>25835</x:v>
      </x:c>
    </x:row>
    <x:row r="346">
      <x:c r="A346" s="17" t="n">
        <x:v>43558</x:v>
      </x:c>
      <x:c r="B346" s="18" t="n">
        <x:v>1292.19</x:v>
      </x:c>
      <x:c r="C346" s="18" t="n">
        <x:v>1294.52</x:v>
      </x:c>
      <x:c r="D346" s="18" t="n">
        <x:v>1288.34</x:v>
      </x:c>
      <x:c r="E346" s="18" t="n">
        <x:v>1289.66</x:v>
      </x:c>
      <x:c r="F346" s="19" t="n">
        <x:v>27327</x:v>
      </x:c>
    </x:row>
    <x:row r="347">
      <x:c r="A347" s="17" t="n">
        <x:v>43559</x:v>
      </x:c>
      <x:c r="B347" s="18" t="n">
        <x:v>1290.39</x:v>
      </x:c>
      <x:c r="C347" s="18" t="n">
        <x:v>1294.35</x:v>
      </x:c>
      <x:c r="D347" s="18" t="n">
        <x:v>1280.88</x:v>
      </x:c>
      <x:c r="E347" s="18" t="n">
        <x:v>1292.38</x:v>
      </x:c>
      <x:c r="F347" s="19" t="n">
        <x:v>27632</x:v>
      </x:c>
    </x:row>
    <x:row r="348">
      <x:c r="A348" s="17" t="n">
        <x:v>43560</x:v>
      </x:c>
      <x:c r="B348" s="18" t="n">
        <x:v>1292.74</x:v>
      </x:c>
      <x:c r="C348" s="18" t="n">
        <x:v>1293.53</x:v>
      </x:c>
      <x:c r="D348" s="18" t="n">
        <x:v>1284.35</x:v>
      </x:c>
      <x:c r="E348" s="18" t="n">
        <x:v>1291.49</x:v>
      </x:c>
      <x:c r="F348" s="19" t="n">
        <x:v>27455</x:v>
      </x:c>
    </x:row>
    <x:row r="349">
      <x:c r="A349" s="17" t="n">
        <x:v>43563</x:v>
      </x:c>
      <x:c r="B349" s="18" t="n">
        <x:v>1292.17</x:v>
      </x:c>
      <x:c r="C349" s="18" t="n">
        <x:v>1303.66</x:v>
      </x:c>
      <x:c r="D349" s="18" t="n">
        <x:v>1291.39</x:v>
      </x:c>
      <x:c r="E349" s="18" t="n">
        <x:v>1297.49</x:v>
      </x:c>
      <x:c r="F349" s="19" t="n">
        <x:v>23309</x:v>
      </x:c>
    </x:row>
    <x:row r="350">
      <x:c r="A350" s="17" t="n">
        <x:v>43564</x:v>
      </x:c>
      <x:c r="B350" s="18" t="n">
        <x:v>1297.78</x:v>
      </x:c>
      <x:c r="C350" s="18" t="n">
        <x:v>1306.15</x:v>
      </x:c>
      <x:c r="D350" s="18" t="n">
        <x:v>1296.55</x:v>
      </x:c>
      <x:c r="E350" s="18" t="n">
        <x:v>1303.9</x:v>
      </x:c>
      <x:c r="F350" s="19" t="n">
        <x:v>33090</x:v>
      </x:c>
    </x:row>
    <x:row r="351">
      <x:c r="A351" s="17" t="n">
        <x:v>43565</x:v>
      </x:c>
      <x:c r="B351" s="18" t="n">
        <x:v>1304.36</x:v>
      </x:c>
      <x:c r="C351" s="18" t="n">
        <x:v>1310.53</x:v>
      </x:c>
      <x:c r="D351" s="18" t="n">
        <x:v>1300.9</x:v>
      </x:c>
      <x:c r="E351" s="18" t="n">
        <x:v>1307.94</x:v>
      </x:c>
      <x:c r="F351" s="19" t="n">
        <x:v>33655</x:v>
      </x:c>
    </x:row>
    <x:row r="352">
      <x:c r="A352" s="17" t="n">
        <x:v>43566</x:v>
      </x:c>
      <x:c r="B352" s="18" t="n">
        <x:v>1308.05</x:v>
      </x:c>
      <x:c r="C352" s="18" t="n">
        <x:v>1309.13</x:v>
      </x:c>
      <x:c r="D352" s="18" t="n">
        <x:v>1289.53</x:v>
      </x:c>
      <x:c r="E352" s="18" t="n">
        <x:v>1292.26</x:v>
      </x:c>
      <x:c r="F352" s="19" t="n">
        <x:v>40410</x:v>
      </x:c>
    </x:row>
    <x:row r="353">
      <x:c r="A353" s="17" t="n">
        <x:v>43567</x:v>
      </x:c>
      <x:c r="B353" s="18" t="n">
        <x:v>1292.42</x:v>
      </x:c>
      <x:c r="C353" s="18" t="n">
        <x:v>1295.76</x:v>
      </x:c>
      <x:c r="D353" s="18" t="n">
        <x:v>1290.01</x:v>
      </x:c>
      <x:c r="E353" s="18" t="n">
        <x:v>1290.46</x:v>
      </x:c>
      <x:c r="F353" s="19" t="n">
        <x:v>35036</x:v>
      </x:c>
    </x:row>
    <x:row r="354">
      <x:c r="A354" s="17" t="n">
        <x:v>43570</x:v>
      </x:c>
      <x:c r="B354" s="18" t="n">
        <x:v>1291.22</x:v>
      </x:c>
      <x:c r="C354" s="18" t="n">
        <x:v>1291.89</x:v>
      </x:c>
      <x:c r="D354" s="18" t="n">
        <x:v>1282.43</x:v>
      </x:c>
      <x:c r="E354" s="18" t="n">
        <x:v>1287.57</x:v>
      </x:c>
      <x:c r="F354" s="19" t="n">
        <x:v>30511</x:v>
      </x:c>
    </x:row>
    <x:row r="355">
      <x:c r="A355" s="17" t="n">
        <x:v>43571</x:v>
      </x:c>
      <x:c r="B355" s="18" t="n">
        <x:v>1287.82</x:v>
      </x:c>
      <x:c r="C355" s="18" t="n">
        <x:v>1288.72</x:v>
      </x:c>
      <x:c r="D355" s="18" t="n">
        <x:v>1272.89</x:v>
      </x:c>
      <x:c r="E355" s="18" t="n">
        <x:v>1276.69</x:v>
      </x:c>
      <x:c r="F355" s="19" t="n">
        <x:v>37582</x:v>
      </x:c>
    </x:row>
    <x:row r="356">
      <x:c r="A356" s="17" t="n">
        <x:v>43572</x:v>
      </x:c>
      <x:c r="B356" s="18" t="n">
        <x:v>1276.72</x:v>
      </x:c>
      <x:c r="C356" s="18" t="n">
        <x:v>1279.71</x:v>
      </x:c>
      <x:c r="D356" s="18" t="n">
        <x:v>1272.93</x:v>
      </x:c>
      <x:c r="E356" s="18" t="n">
        <x:v>1273.76</x:v>
      </x:c>
      <x:c r="F356" s="19" t="n">
        <x:v>32860</x:v>
      </x:c>
    </x:row>
    <x:row r="357">
      <x:c r="A357" s="17" t="n">
        <x:v>43573</x:v>
      </x:c>
      <x:c r="B357" s="18" t="n">
        <x:v>1274.26</x:v>
      </x:c>
      <x:c r="C357" s="18" t="n">
        <x:v>1277.65</x:v>
      </x:c>
      <x:c r="D357" s="18" t="n">
        <x:v>1271.09</x:v>
      </x:c>
      <x:c r="E357" s="18" t="n">
        <x:v>1275.47</x:v>
      </x:c>
      <x:c r="F357" s="19" t="n">
        <x:v>31394</x:v>
      </x:c>
    </x:row>
    <x:row r="358">
      <x:c r="A358" s="17" t="n">
        <x:v>43577</x:v>
      </x:c>
      <x:c r="B358" s="18" t="n">
        <x:v>1275.72</x:v>
      </x:c>
      <x:c r="C358" s="18" t="n">
        <x:v>1279.77</x:v>
      </x:c>
      <x:c r="D358" s="18" t="n">
        <x:v>1273.74</x:v>
      </x:c>
      <x:c r="E358" s="18" t="n">
        <x:v>1274.7</x:v>
      </x:c>
      <x:c r="F358" s="19" t="n">
        <x:v>21624</x:v>
      </x:c>
    </x:row>
    <x:row r="359">
      <x:c r="A359" s="17" t="n">
        <x:v>43578</x:v>
      </x:c>
      <x:c r="B359" s="18" t="n">
        <x:v>1275.25</x:v>
      </x:c>
      <x:c r="C359" s="18" t="n">
        <x:v>1276.44</x:v>
      </x:c>
      <x:c r="D359" s="18" t="n">
        <x:v>1266.21</x:v>
      </x:c>
      <x:c r="E359" s="18" t="n">
        <x:v>1272.1</x:v>
      </x:c>
      <x:c r="F359" s="19" t="n">
        <x:v>30666</x:v>
      </x:c>
    </x:row>
    <x:row r="360">
      <x:c r="A360" s="17" t="n">
        <x:v>43579</x:v>
      </x:c>
      <x:c r="B360" s="18" t="n">
        <x:v>1272.14</x:v>
      </x:c>
      <x:c r="C360" s="18" t="n">
        <x:v>1278.49</x:v>
      </x:c>
      <x:c r="D360" s="18" t="n">
        <x:v>1268.72</x:v>
      </x:c>
      <x:c r="E360" s="18" t="n">
        <x:v>1275.5</x:v>
      </x:c>
      <x:c r="F360" s="19" t="n">
        <x:v>32797</x:v>
      </x:c>
    </x:row>
    <x:row r="361">
      <x:c r="A361" s="17" t="n">
        <x:v>43580</x:v>
      </x:c>
      <x:c r="B361" s="18" t="n">
        <x:v>1275.62</x:v>
      </x:c>
      <x:c r="C361" s="18" t="n">
        <x:v>1282.53</x:v>
      </x:c>
      <x:c r="D361" s="18" t="n">
        <x:v>1273.31</x:v>
      </x:c>
      <x:c r="E361" s="18" t="n">
        <x:v>1277.18</x:v>
      </x:c>
      <x:c r="F361" s="19" t="n">
        <x:v>34181</x:v>
      </x:c>
    </x:row>
    <x:row r="362">
      <x:c r="A362" s="17" t="n">
        <x:v>43581</x:v>
      </x:c>
      <x:c r="B362" s="18" t="n">
        <x:v>1277.33</x:v>
      </x:c>
      <x:c r="C362" s="18" t="n">
        <x:v>1288.67</x:v>
      </x:c>
      <x:c r="D362" s="18" t="n">
        <x:v>1274.15</x:v>
      </x:c>
      <x:c r="E362" s="18" t="n">
        <x:v>1285.95</x:v>
      </x:c>
      <x:c r="F362" s="19" t="n">
        <x:v>38920</x:v>
      </x:c>
    </x:row>
    <x:row r="363">
      <x:c r="A363" s="17" t="n">
        <x:v>43584</x:v>
      </x:c>
      <x:c r="B363" s="18" t="n">
        <x:v>1285.92</x:v>
      </x:c>
      <x:c r="C363" s="18" t="n">
        <x:v>1286.65</x:v>
      </x:c>
      <x:c r="D363" s="18" t="n">
        <x:v>1278.01</x:v>
      </x:c>
      <x:c r="E363" s="18" t="n">
        <x:v>1279.49</x:v>
      </x:c>
      <x:c r="F363" s="19" t="n">
        <x:v>30175</x:v>
      </x:c>
    </x:row>
    <x:row r="364">
      <x:c r="A364" s="17" t="n">
        <x:v>43585</x:v>
      </x:c>
      <x:c r="B364" s="18" t="n">
        <x:v>1279.91</x:v>
      </x:c>
      <x:c r="C364" s="18" t="n">
        <x:v>1286.14</x:v>
      </x:c>
      <x:c r="D364" s="18" t="n">
        <x:v>1279.85</x:v>
      </x:c>
      <x:c r="E364" s="18" t="n">
        <x:v>1283.29</x:v>
      </x:c>
      <x:c r="F364" s="19" t="n">
        <x:v>36375</x:v>
      </x:c>
    </x:row>
    <x:row r="365">
      <x:c r="A365" s="17" t="n">
        <x:v>43586</x:v>
      </x:c>
      <x:c r="B365" s="18" t="n">
        <x:v>1283.13</x:v>
      </x:c>
      <x:c r="C365" s="18" t="n">
        <x:v>1287.23</x:v>
      </x:c>
      <x:c r="D365" s="18" t="n">
        <x:v>1272.83</x:v>
      </x:c>
      <x:c r="E365" s="18" t="n">
        <x:v>1276.48</x:v>
      </x:c>
      <x:c r="F365" s="19" t="n">
        <x:v>42936</x:v>
      </x:c>
    </x:row>
    <x:row r="366">
      <x:c r="A366" s="17" t="n">
        <x:v>43587</x:v>
      </x:c>
      <x:c r="B366" s="18" t="n">
        <x:v>1277.06</x:v>
      </x:c>
      <x:c r="C366" s="18" t="n">
        <x:v>1277.91</x:v>
      </x:c>
      <x:c r="D366" s="18" t="n">
        <x:v>1266.2</x:v>
      </x:c>
      <x:c r="E366" s="18" t="n">
        <x:v>1270.48</x:v>
      </x:c>
      <x:c r="F366" s="19" t="n">
        <x:v>37990</x:v>
      </x:c>
    </x:row>
    <x:row r="367">
      <x:c r="A367" s="17" t="n">
        <x:v>43588</x:v>
      </x:c>
      <x:c r="B367" s="18" t="n">
        <x:v>1270.52</x:v>
      </x:c>
      <x:c r="C367" s="18" t="n">
        <x:v>1282.52</x:v>
      </x:c>
      <x:c r="D367" s="18" t="n">
        <x:v>1268.13</x:v>
      </x:c>
      <x:c r="E367" s="18" t="n">
        <x:v>1278.97</x:v>
      </x:c>
      <x:c r="F367" s="19" t="n">
        <x:v>39549</x:v>
      </x:c>
    </x:row>
    <x:row r="368">
      <x:c r="A368" s="17" t="n">
        <x:v>43591</x:v>
      </x:c>
      <x:c r="B368" s="18" t="n">
        <x:v>1282.56</x:v>
      </x:c>
      <x:c r="C368" s="18" t="n">
        <x:v>1285.77</x:v>
      </x:c>
      <x:c r="D368" s="18" t="n">
        <x:v>1276.93</x:v>
      </x:c>
      <x:c r="E368" s="18" t="n">
        <x:v>1280.2</x:v>
      </x:c>
      <x:c r="F368" s="19" t="n">
        <x:v>39892</x:v>
      </x:c>
    </x:row>
    <x:row r="369">
      <x:c r="A369" s="17" t="n">
        <x:v>43592</x:v>
      </x:c>
      <x:c r="B369" s="18" t="n">
        <x:v>1281.33</x:v>
      </x:c>
      <x:c r="C369" s="18" t="n">
        <x:v>1286.03</x:v>
      </x:c>
      <x:c r="D369" s="18" t="n">
        <x:v>1278.13</x:v>
      </x:c>
      <x:c r="E369" s="18" t="n">
        <x:v>1284.28</x:v>
      </x:c>
      <x:c r="F369" s="19" t="n">
        <x:v>39904</x:v>
      </x:c>
    </x:row>
    <x:row r="370">
      <x:c r="A370" s="17" t="n">
        <x:v>43593</x:v>
      </x:c>
      <x:c r="B370" s="18" t="n">
        <x:v>1283.91</x:v>
      </x:c>
      <x:c r="C370" s="18" t="n">
        <x:v>1291.44</x:v>
      </x:c>
      <x:c r="D370" s="18" t="n">
        <x:v>1279.27</x:v>
      </x:c>
      <x:c r="E370" s="18" t="n">
        <x:v>1280.49</x:v>
      </x:c>
      <x:c r="F370" s="19" t="n">
        <x:v>42097</x:v>
      </x:c>
    </x:row>
    <x:row r="371">
      <x:c r="A371" s="17" t="n">
        <x:v>43594</x:v>
      </x:c>
      <x:c r="B371" s="18" t="n">
        <x:v>1281.23</x:v>
      </x:c>
      <x:c r="C371" s="18" t="n">
        <x:v>1288.17</x:v>
      </x:c>
      <x:c r="D371" s="18" t="n">
        <x:v>1279.56</x:v>
      </x:c>
      <x:c r="E371" s="18" t="n">
        <x:v>1283.4</x:v>
      </x:c>
      <x:c r="F371" s="19" t="n">
        <x:v>46217</x:v>
      </x:c>
    </x:row>
    <x:row r="372">
      <x:c r="A372" s="17" t="n">
        <x:v>43595</x:v>
      </x:c>
      <x:c r="B372" s="18" t="n">
        <x:v>1284.43</x:v>
      </x:c>
      <x:c r="C372" s="18" t="n">
        <x:v>1289.37</x:v>
      </x:c>
      <x:c r="D372" s="18" t="n">
        <x:v>1283.11</x:v>
      </x:c>
      <x:c r="E372" s="18" t="n">
        <x:v>1285.66</x:v>
      </x:c>
      <x:c r="F372" s="19" t="n">
        <x:v>48490</x:v>
      </x:c>
    </x:row>
    <x:row r="373">
      <x:c r="A373" s="17" t="n">
        <x:v>43598</x:v>
      </x:c>
      <x:c r="B373" s="18" t="n">
        <x:v>1287.13</x:v>
      </x:c>
      <x:c r="C373" s="18" t="n">
        <x:v>1301.19</x:v>
      </x:c>
      <x:c r="D373" s="18" t="n">
        <x:v>1281.9</x:v>
      </x:c>
      <x:c r="E373" s="18" t="n">
        <x:v>1299.79</x:v>
      </x:c>
      <x:c r="F373" s="19" t="n">
        <x:v>44745</x:v>
      </x:c>
    </x:row>
    <x:row r="374">
      <x:c r="A374" s="17" t="n">
        <x:v>43599</x:v>
      </x:c>
      <x:c r="B374" s="18" t="n">
        <x:v>1300.59</x:v>
      </x:c>
      <x:c r="C374" s="18" t="n">
        <x:v>1303.23</x:v>
      </x:c>
      <x:c r="D374" s="18" t="n">
        <x:v>1293.65</x:v>
      </x:c>
      <x:c r="E374" s="18" t="n">
        <x:v>1296.76</x:v>
      </x:c>
      <x:c r="F374" s="19" t="n">
        <x:v>32675</x:v>
      </x:c>
    </x:row>
    <x:row r="375">
      <x:c r="A375" s="17" t="n">
        <x:v>43600</x:v>
      </x:c>
      <x:c r="B375" s="18" t="n">
        <x:v>1297.04</x:v>
      </x:c>
      <x:c r="C375" s="18" t="n">
        <x:v>1300.84</x:v>
      </x:c>
      <x:c r="D375" s="18" t="n">
        <x:v>1292.99</x:v>
      </x:c>
      <x:c r="E375" s="18" t="n">
        <x:v>1296.35</x:v>
      </x:c>
      <x:c r="F375" s="19" t="n">
        <x:v>38680</x:v>
      </x:c>
    </x:row>
    <x:row r="376">
      <x:c r="A376" s="17" t="n">
        <x:v>43601</x:v>
      </x:c>
      <x:c r="B376" s="18" t="n">
        <x:v>1296.45</x:v>
      </x:c>
      <x:c r="C376" s="18" t="n">
        <x:v>1298.72</x:v>
      </x:c>
      <x:c r="D376" s="18" t="n">
        <x:v>1283.97</x:v>
      </x:c>
      <x:c r="E376" s="18" t="n">
        <x:v>1286.31</x:v>
      </x:c>
      <x:c r="F376" s="19" t="n">
        <x:v>36934</x:v>
      </x:c>
    </x:row>
    <x:row r="377">
      <x:c r="A377" s="17" t="n">
        <x:v>43602</x:v>
      </x:c>
      <x:c r="B377" s="18" t="n">
        <x:v>1286.54</x:v>
      </x:c>
      <x:c r="C377" s="18" t="n">
        <x:v>1288.89</x:v>
      </x:c>
      <x:c r="D377" s="18" t="n">
        <x:v>1274.72</x:v>
      </x:c>
      <x:c r="E377" s="18" t="n">
        <x:v>1277.48</x:v>
      </x:c>
      <x:c r="F377" s="19" t="n">
        <x:v>38861</x:v>
      </x:c>
    </x:row>
    <x:row r="378">
      <x:c r="A378" s="17" t="n">
        <x:v>43605</x:v>
      </x:c>
      <x:c r="B378" s="18" t="n">
        <x:v>1278.29</x:v>
      </x:c>
      <x:c r="C378" s="18" t="n">
        <x:v>1278.95</x:v>
      </x:c>
      <x:c r="D378" s="18" t="n">
        <x:v>1273.61</x:v>
      </x:c>
      <x:c r="E378" s="18" t="n">
        <x:v>1277.63</x:v>
      </x:c>
      <x:c r="F378" s="19" t="n">
        <x:v>30684</x:v>
      </x:c>
    </x:row>
    <x:row r="379">
      <x:c r="A379" s="17" t="n">
        <x:v>43606</x:v>
      </x:c>
      <x:c r="B379" s="18" t="n">
        <x:v>1277.54</x:v>
      </x:c>
      <x:c r="C379" s="18" t="n">
        <x:v>1277.86</x:v>
      </x:c>
      <x:c r="D379" s="18" t="n">
        <x:v>1269.41</x:v>
      </x:c>
      <x:c r="E379" s="18" t="n">
        <x:v>1274.69</x:v>
      </x:c>
      <x:c r="F379" s="19" t="n">
        <x:v>29422</x:v>
      </x:c>
    </x:row>
    <x:row r="380">
      <x:c r="A380" s="17" t="n">
        <x:v>43607</x:v>
      </x:c>
      <x:c r="B380" s="18" t="n">
        <x:v>1274.5</x:v>
      </x:c>
      <x:c r="C380" s="18" t="n">
        <x:v>1277.26</x:v>
      </x:c>
      <x:c r="D380" s="18" t="n">
        <x:v>1272.43</x:v>
      </x:c>
      <x:c r="E380" s="18" t="n">
        <x:v>1273.41</x:v>
      </x:c>
      <x:c r="F380" s="19" t="n">
        <x:v>28455</x:v>
      </x:c>
    </x:row>
    <x:row r="381">
      <x:c r="A381" s="17" t="n">
        <x:v>43608</x:v>
      </x:c>
      <x:c r="B381" s="18" t="n">
        <x:v>1273.64</x:v>
      </x:c>
      <x:c r="C381" s="18" t="n">
        <x:v>1287.27</x:v>
      </x:c>
      <x:c r="D381" s="18" t="n">
        <x:v>1272.78</x:v>
      </x:c>
      <x:c r="E381" s="18" t="n">
        <x:v>1283.56</x:v>
      </x:c>
      <x:c r="F381" s="19" t="n">
        <x:v>42712</x:v>
      </x:c>
    </x:row>
    <x:row r="382">
      <x:c r="A382" s="17" t="n">
        <x:v>43609</x:v>
      </x:c>
      <x:c r="B382" s="18" t="n">
        <x:v>1283.49</x:v>
      </x:c>
      <x:c r="C382" s="18" t="n">
        <x:v>1285.2</x:v>
      </x:c>
      <x:c r="D382" s="18" t="n">
        <x:v>1280.71</x:v>
      </x:c>
      <x:c r="E382" s="18" t="n">
        <x:v>1284.8</x:v>
      </x:c>
      <x:c r="F382" s="19" t="n">
        <x:v>32122</x:v>
      </x:c>
    </x:row>
    <x:row r="383">
      <x:c r="A383" s="17" t="n">
        <x:v>43612</x:v>
      </x:c>
      <x:c r="B383" s="18" t="n">
        <x:v>1285.21</x:v>
      </x:c>
      <x:c r="C383" s="18" t="n">
        <x:v>1287.33</x:v>
      </x:c>
      <x:c r="D383" s="18" t="n">
        <x:v>1283.72</x:v>
      </x:c>
      <x:c r="E383" s="18" t="n">
        <x:v>1284.95</x:v>
      </x:c>
      <x:c r="F383" s="19" t="n">
        <x:v>15551</x:v>
      </x:c>
    </x:row>
    <x:row r="384">
      <x:c r="A384" s="17" t="n">
        <x:v>43613</x:v>
      </x:c>
      <x:c r="B384" s="18" t="n">
        <x:v>1285.2</x:v>
      </x:c>
      <x:c r="C384" s="18" t="n">
        <x:v>1286.51</x:v>
      </x:c>
      <x:c r="D384" s="18" t="n">
        <x:v>1276.09</x:v>
      </x:c>
      <x:c r="E384" s="18" t="n">
        <x:v>1279.4</x:v>
      </x:c>
      <x:c r="F384" s="19" t="n">
        <x:v>38161</x:v>
      </x:c>
    </x:row>
    <x:row r="385">
      <x:c r="A385" s="17" t="n">
        <x:v>43614</x:v>
      </x:c>
      <x:c r="B385" s="18" t="n">
        <x:v>1279.39</x:v>
      </x:c>
      <x:c r="C385" s="18" t="n">
        <x:v>1285.51</x:v>
      </x:c>
      <x:c r="D385" s="18" t="n">
        <x:v>1279.11</x:v>
      </x:c>
      <x:c r="E385" s="18" t="n">
        <x:v>1280.2</x:v>
      </x:c>
      <x:c r="F385" s="19" t="n">
        <x:v>45534</x:v>
      </x:c>
    </x:row>
    <x:row r="386">
      <x:c r="A386" s="17" t="n">
        <x:v>43615</x:v>
      </x:c>
      <x:c r="B386" s="18" t="n">
        <x:v>1280</x:v>
      </x:c>
      <x:c r="C386" s="18" t="n">
        <x:v>1289.17</x:v>
      </x:c>
      <x:c r="D386" s="18" t="n">
        <x:v>1274.95</x:v>
      </x:c>
      <x:c r="E386" s="18" t="n">
        <x:v>1288.41</x:v>
      </x:c>
      <x:c r="F386" s="19" t="n">
        <x:v>37312</x:v>
      </x:c>
    </x:row>
    <x:row r="387">
      <x:c r="A387" s="17" t="n">
        <x:v>43616</x:v>
      </x:c>
      <x:c r="B387" s="18" t="n">
        <x:v>1288.29</x:v>
      </x:c>
      <x:c r="C387" s="18" t="n">
        <x:v>1306.92</x:v>
      </x:c>
      <x:c r="D387" s="18" t="n">
        <x:v>1287.93</x:v>
      </x:c>
      <x:c r="E387" s="18" t="n">
        <x:v>1305.13</x:v>
      </x:c>
      <x:c r="F387" s="19" t="n">
        <x:v>47039</x:v>
      </x:c>
    </x:row>
    <x:row r="388">
      <x:c r="A388" s="17" t="n">
        <x:v>43619</x:v>
      </x:c>
      <x:c r="B388" s="18" t="n">
        <x:v>1306.59</x:v>
      </x:c>
      <x:c r="C388" s="18" t="n">
        <x:v>1327.92</x:v>
      </x:c>
      <x:c r="D388" s="18" t="n">
        <x:v>1306.49</x:v>
      </x:c>
      <x:c r="E388" s="18" t="n">
        <x:v>1324.48</x:v>
      </x:c>
      <x:c r="F388" s="19" t="n">
        <x:v>50885</x:v>
      </x:c>
    </x:row>
    <x:row r="389">
      <x:c r="A389" s="17" t="n">
        <x:v>43620</x:v>
      </x:c>
      <x:c r="B389" s="18" t="n">
        <x:v>1324.89</x:v>
      </x:c>
      <x:c r="C389" s="18" t="n">
        <x:v>1329</x:v>
      </x:c>
      <x:c r="D389" s="18" t="n">
        <x:v>1319.87</x:v>
      </x:c>
      <x:c r="E389" s="18" t="n">
        <x:v>1325.59</x:v>
      </x:c>
      <x:c r="F389" s="19" t="n">
        <x:v>49993</x:v>
      </x:c>
    </x:row>
    <x:row r="390">
      <x:c r="A390" s="17" t="n">
        <x:v>43621</x:v>
      </x:c>
      <x:c r="B390" s="18" t="n">
        <x:v>1325.24</x:v>
      </x:c>
      <x:c r="C390" s="18" t="n">
        <x:v>1344.04</x:v>
      </x:c>
      <x:c r="D390" s="18" t="n">
        <x:v>1324.49</x:v>
      </x:c>
      <x:c r="E390" s="18" t="n">
        <x:v>1330.09</x:v>
      </x:c>
      <x:c r="F390" s="19" t="n">
        <x:v>65031</x:v>
      </x:c>
    </x:row>
    <x:row r="391">
      <x:c r="A391" s="17" t="n">
        <x:v>43622</x:v>
      </x:c>
      <x:c r="B391" s="18" t="n">
        <x:v>1332.17</x:v>
      </x:c>
      <x:c r="C391" s="18" t="n">
        <x:v>1339.79</x:v>
      </x:c>
      <x:c r="D391" s="18" t="n">
        <x:v>1327.18</x:v>
      </x:c>
      <x:c r="E391" s="18" t="n">
        <x:v>1335.52</x:v>
      </x:c>
      <x:c r="F391" s="19" t="n">
        <x:v>55111</x:v>
      </x:c>
    </x:row>
    <x:row r="392">
      <x:c r="A392" s="17" t="n">
        <x:v>43623</x:v>
      </x:c>
      <x:c r="B392" s="18" t="n">
        <x:v>1335.9</x:v>
      </x:c>
      <x:c r="C392" s="18" t="n">
        <x:v>1348.23</x:v>
      </x:c>
      <x:c r="D392" s="18" t="n">
        <x:v>1330.23</x:v>
      </x:c>
      <x:c r="E392" s="18" t="n">
        <x:v>1340.24</x:v>
      </x:c>
      <x:c r="F392" s="19" t="n">
        <x:v>52484</x:v>
      </x:c>
    </x:row>
    <x:row r="393">
      <x:c r="A393" s="17" t="n">
        <x:v>43626</x:v>
      </x:c>
      <x:c r="B393" s="18" t="n">
        <x:v>1334.62</x:v>
      </x:c>
      <x:c r="C393" s="18" t="n">
        <x:v>1337.65</x:v>
      </x:c>
      <x:c r="D393" s="18" t="n">
        <x:v>1325.03</x:v>
      </x:c>
      <x:c r="E393" s="18" t="n">
        <x:v>1327.84</x:v>
      </x:c>
      <x:c r="F393" s="19" t="n">
        <x:v>47974</x:v>
      </x:c>
    </x:row>
    <x:row r="394">
      <x:c r="A394" s="17" t="n">
        <x:v>43627</x:v>
      </x:c>
      <x:c r="B394" s="18" t="n">
        <x:v>1328.06</x:v>
      </x:c>
      <x:c r="C394" s="18" t="n">
        <x:v>1329.84</x:v>
      </x:c>
      <x:c r="D394" s="18" t="n">
        <x:v>1319.83</x:v>
      </x:c>
      <x:c r="E394" s="18" t="n">
        <x:v>1326.65</x:v>
      </x:c>
      <x:c r="F394" s="19" t="n">
        <x:v>46762</x:v>
      </x:c>
    </x:row>
    <x:row r="395">
      <x:c r="A395" s="17" t="n">
        <x:v>43628</x:v>
      </x:c>
      <x:c r="B395" s="18" t="n">
        <x:v>1326.87</x:v>
      </x:c>
      <x:c r="C395" s="18" t="n">
        <x:v>1338.38</x:v>
      </x:c>
      <x:c r="D395" s="18" t="n">
        <x:v>1325.98</x:v>
      </x:c>
      <x:c r="E395" s="18" t="n">
        <x:v>1333.23</x:v>
      </x:c>
      <x:c r="F395" s="19" t="n">
        <x:v>50814</x:v>
      </x:c>
    </x:row>
    <x:row r="396">
      <x:c r="A396" s="17" t="n">
        <x:v>43629</x:v>
      </x:c>
      <x:c r="B396" s="18" t="n">
        <x:v>1333.66</x:v>
      </x:c>
      <x:c r="C396" s="18" t="n">
        <x:v>1343.09</x:v>
      </x:c>
      <x:c r="D396" s="18" t="n">
        <x:v>1332.38</x:v>
      </x:c>
      <x:c r="E396" s="18" t="n">
        <x:v>1341.81</x:v>
      </x:c>
      <x:c r="F396" s="19" t="n">
        <x:v>43496</x:v>
      </x:c>
    </x:row>
    <x:row r="397">
      <x:c r="A397" s="17" t="n">
        <x:v>43630</x:v>
      </x:c>
      <x:c r="B397" s="18" t="n">
        <x:v>1342.27</x:v>
      </x:c>
      <x:c r="C397" s="18" t="n">
        <x:v>1358.12</x:v>
      </x:c>
      <x:c r="D397" s="18" t="n">
        <x:v>1337.73</x:v>
      </x:c>
      <x:c r="E397" s="18" t="n">
        <x:v>1340.82</x:v>
      </x:c>
      <x:c r="F397" s="19" t="n">
        <x:v>62043</x:v>
      </x:c>
    </x:row>
    <x:row r="398">
      <x:c r="A398" s="17" t="n">
        <x:v>43633</x:v>
      </x:c>
      <x:c r="B398" s="18" t="n">
        <x:v>1341.76</x:v>
      </x:c>
      <x:c r="C398" s="18" t="n">
        <x:v>1343.47</x:v>
      </x:c>
      <x:c r="D398" s="18" t="n">
        <x:v>1332.93</x:v>
      </x:c>
      <x:c r="E398" s="18" t="n">
        <x:v>1339.48</x:v>
      </x:c>
      <x:c r="F398" s="19" t="n">
        <x:v>49206</x:v>
      </x:c>
    </x:row>
    <x:row r="399">
      <x:c r="A399" s="17" t="n">
        <x:v>43634</x:v>
      </x:c>
      <x:c r="B399" s="18" t="n">
        <x:v>1340.04</x:v>
      </x:c>
      <x:c r="C399" s="18" t="n">
        <x:v>1354.57</x:v>
      </x:c>
      <x:c r="D399" s="18" t="n">
        <x:v>1338.59</x:v>
      </x:c>
      <x:c r="E399" s="18" t="n">
        <x:v>1346.51</x:v>
      </x:c>
      <x:c r="F399" s="19" t="n">
        <x:v>71328</x:v>
      </x:c>
    </x:row>
    <x:row r="400">
      <x:c r="A400" s="17" t="n">
        <x:v>43635</x:v>
      </x:c>
      <x:c r="B400" s="18" t="n">
        <x:v>1346.14</x:v>
      </x:c>
      <x:c r="C400" s="18" t="n">
        <x:v>1362.54</x:v>
      </x:c>
      <x:c r="D400" s="18" t="n">
        <x:v>1341.31</x:v>
      </x:c>
      <x:c r="E400" s="18" t="n">
        <x:v>1359.64</x:v>
      </x:c>
      <x:c r="F400" s="19" t="n">
        <x:v>72466</x:v>
      </x:c>
    </x:row>
    <x:row r="401">
      <x:c r="A401" s="17" t="n">
        <x:v>43636</x:v>
      </x:c>
      <x:c r="B401" s="18" t="n">
        <x:v>1359.47</x:v>
      </x:c>
      <x:c r="C401" s="18" t="n">
        <x:v>1393.9</x:v>
      </x:c>
      <x:c r="D401" s="18" t="n">
        <x:v>1357.65</x:v>
      </x:c>
      <x:c r="E401" s="18" t="n">
        <x:v>1388.35</x:v>
      </x:c>
      <x:c r="F401" s="19" t="n">
        <x:v>102246</x:v>
      </x:c>
    </x:row>
    <x:row r="402">
      <x:c r="A402" s="17" t="n">
        <x:v>43637</x:v>
      </x:c>
      <x:c r="B402" s="18" t="n">
        <x:v>1387.4</x:v>
      </x:c>
      <x:c r="C402" s="18" t="n">
        <x:v>1411.76</x:v>
      </x:c>
      <x:c r="D402" s="18" t="n">
        <x:v>1382.48</x:v>
      </x:c>
      <x:c r="E402" s="18" t="n">
        <x:v>1398.68</x:v>
      </x:c>
      <x:c r="F402" s="19" t="n">
        <x:v>118183</x:v>
      </x:c>
    </x:row>
    <x:row r="403">
      <x:c r="A403" s="17" t="n">
        <x:v>43640</x:v>
      </x:c>
      <x:c r="B403" s="18" t="n">
        <x:v>1399.87</x:v>
      </x:c>
      <x:c r="C403" s="18" t="n">
        <x:v>1421.41</x:v>
      </x:c>
      <x:c r="D403" s="18" t="n">
        <x:v>1399.42</x:v>
      </x:c>
      <x:c r="E403" s="18" t="n">
        <x:v>1419.11</x:v>
      </x:c>
      <x:c r="F403" s="19" t="n">
        <x:v>78266</x:v>
      </x:c>
    </x:row>
    <x:row r="404">
      <x:c r="A404" s="17" t="n">
        <x:v>43641</x:v>
      </x:c>
      <x:c r="B404" s="18" t="n">
        <x:v>1418</x:v>
      </x:c>
      <x:c r="C404" s="18" t="n">
        <x:v>1439.21</x:v>
      </x:c>
      <x:c r="D404" s="18" t="n">
        <x:v>1411.82</x:v>
      </x:c>
      <x:c r="E404" s="18" t="n">
        <x:v>1423.19</x:v>
      </x:c>
      <x:c r="F404" s="19" t="n">
        <x:v>130617</x:v>
      </x:c>
    </x:row>
    <x:row r="405">
      <x:c r="A405" s="17" t="n">
        <x:v>43642</x:v>
      </x:c>
      <x:c r="B405" s="18" t="n">
        <x:v>1419.69</x:v>
      </x:c>
      <x:c r="C405" s="18" t="n">
        <x:v>1422.04</x:v>
      </x:c>
      <x:c r="D405" s="18" t="n">
        <x:v>1401.82</x:v>
      </x:c>
      <x:c r="E405" s="18" t="n">
        <x:v>1408.67</x:v>
      </x:c>
      <x:c r="F405" s="19" t="n">
        <x:v>109233</x:v>
      </x:c>
    </x:row>
    <x:row r="406">
      <x:c r="A406" s="17" t="n">
        <x:v>43643</x:v>
      </x:c>
      <x:c r="B406" s="18" t="n">
        <x:v>1407.94</x:v>
      </x:c>
      <x:c r="C406" s="18" t="n">
        <x:v>1412.12</x:v>
      </x:c>
      <x:c r="D406" s="18" t="n">
        <x:v>1398.59</x:v>
      </x:c>
      <x:c r="E406" s="18" t="n">
        <x:v>1409.1</x:v>
      </x:c>
      <x:c r="F406" s="19" t="n">
        <x:v>76489</x:v>
      </x:c>
    </x:row>
    <x:row r="407">
      <x:c r="A407" s="17" t="n">
        <x:v>43644</x:v>
      </x:c>
      <x:c r="B407" s="18" t="n">
        <x:v>1408.7</x:v>
      </x:c>
      <x:c r="C407" s="18" t="n">
        <x:v>1424.6</x:v>
      </x:c>
      <x:c r="D407" s="18" t="n">
        <x:v>1405.63</x:v>
      </x:c>
      <x:c r="E407" s="18" t="n">
        <x:v>1409.91</x:v>
      </x:c>
      <x:c r="F407" s="19" t="n">
        <x:v>80301</x:v>
      </x:c>
    </x:row>
    <x:row r="408">
      <x:c r="A408" s="17" t="n">
        <x:v>43647</x:v>
      </x:c>
      <x:c r="B408" s="18" t="n">
        <x:v>1391.67</x:v>
      </x:c>
      <x:c r="C408" s="18" t="n">
        <x:v>1397.72</x:v>
      </x:c>
      <x:c r="D408" s="18" t="n">
        <x:v>1381.66</x:v>
      </x:c>
      <x:c r="E408" s="18" t="n">
        <x:v>1383.75</x:v>
      </x:c>
      <x:c r="F408" s="19" t="n">
        <x:v>91450</x:v>
      </x:c>
    </x:row>
    <x:row r="409">
      <x:c r="A409" s="17" t="n">
        <x:v>43648</x:v>
      </x:c>
      <x:c r="B409" s="18" t="n">
        <x:v>1383.94</x:v>
      </x:c>
      <x:c r="C409" s="18" t="n">
        <x:v>1420.97</x:v>
      </x:c>
      <x:c r="D409" s="18" t="n">
        <x:v>1383.74</x:v>
      </x:c>
      <x:c r="E409" s="18" t="n">
        <x:v>1418</x:v>
      </x:c>
      <x:c r="F409" s="19" t="n">
        <x:v>79268</x:v>
      </x:c>
    </x:row>
    <x:row r="410">
      <x:c r="A410" s="17" t="n">
        <x:v>43649</x:v>
      </x:c>
      <x:c r="B410" s="18" t="n">
        <x:v>1422.59</x:v>
      </x:c>
      <x:c r="C410" s="18" t="n">
        <x:v>1437.73</x:v>
      </x:c>
      <x:c r="D410" s="18" t="n">
        <x:v>1411.96</x:v>
      </x:c>
      <x:c r="E410" s="18" t="n">
        <x:v>1418.41</x:v>
      </x:c>
      <x:c r="F410" s="19" t="n">
        <x:v>97900</x:v>
      </x:c>
    </x:row>
    <x:row r="411">
      <x:c r="A411" s="17" t="n">
        <x:v>43650</x:v>
      </x:c>
      <x:c r="B411" s="18" t="n">
        <x:v>1420.14</x:v>
      </x:c>
      <x:c r="C411" s="18" t="n">
        <x:v>1421.61</x:v>
      </x:c>
      <x:c r="D411" s="18" t="n">
        <x:v>1410.13</x:v>
      </x:c>
      <x:c r="E411" s="18" t="n">
        <x:v>1415.29</x:v>
      </x:c>
      <x:c r="F411" s="19" t="n">
        <x:v>37381</x:v>
      </x:c>
    </x:row>
    <x:row r="412">
      <x:c r="A412" s="17" t="n">
        <x:v>43651</x:v>
      </x:c>
      <x:c r="B412" s="18" t="n">
        <x:v>1416.39</x:v>
      </x:c>
      <x:c r="C412" s="18" t="n">
        <x:v>1424.15</x:v>
      </x:c>
      <x:c r="D412" s="18" t="n">
        <x:v>1386.63</x:v>
      </x:c>
      <x:c r="E412" s="18" t="n">
        <x:v>1398.09</x:v>
      </x:c>
      <x:c r="F412" s="19" t="n">
        <x:v>77113</x:v>
      </x:c>
    </x:row>
    <x:row r="413">
      <x:c r="A413" s="17" t="n">
        <x:v>43654</x:v>
      </x:c>
      <x:c r="B413" s="18" t="n">
        <x:v>1399.09</x:v>
      </x:c>
      <x:c r="C413" s="18" t="n">
        <x:v>1407.53</x:v>
      </x:c>
      <x:c r="D413" s="18" t="n">
        <x:v>1391.68</x:v>
      </x:c>
      <x:c r="E413" s="18" t="n">
        <x:v>1395.28</x:v>
      </x:c>
      <x:c r="F413" s="19" t="n">
        <x:v>58768</x:v>
      </x:c>
    </x:row>
    <x:row r="414">
      <x:c r="A414" s="17" t="n">
        <x:v>43655</x:v>
      </x:c>
      <x:c r="B414" s="18" t="n">
        <x:v>1394.69</x:v>
      </x:c>
      <x:c r="C414" s="18" t="n">
        <x:v>1399.93</x:v>
      </x:c>
      <x:c r="D414" s="18" t="n">
        <x:v>1385.69</x:v>
      </x:c>
      <x:c r="E414" s="18" t="n">
        <x:v>1397.51</x:v>
      </x:c>
      <x:c r="F414" s="19" t="n">
        <x:v>51415</x:v>
      </x:c>
    </x:row>
    <x:row r="415">
      <x:c r="A415" s="17" t="n">
        <x:v>43656</x:v>
      </x:c>
      <x:c r="B415" s="18" t="n">
        <x:v>1395.68</x:v>
      </x:c>
      <x:c r="C415" s="18" t="n">
        <x:v>1418.55</x:v>
      </x:c>
      <x:c r="D415" s="18" t="n">
        <x:v>1389.81</x:v>
      </x:c>
      <x:c r="E415" s="18" t="n">
        <x:v>1417.87</x:v>
      </x:c>
      <x:c r="F415" s="19" t="n">
        <x:v>68331</x:v>
      </x:c>
    </x:row>
    <x:row r="416">
      <x:c r="A416" s="17" t="n">
        <x:v>43657</x:v>
      </x:c>
      <x:c r="B416" s="18" t="n">
        <x:v>1419.07</x:v>
      </x:c>
      <x:c r="C416" s="18" t="n">
        <x:v>1427.07</x:v>
      </x:c>
      <x:c r="D416" s="18" t="n">
        <x:v>1400.73</x:v>
      </x:c>
      <x:c r="E416" s="18" t="n">
        <x:v>1403.73</x:v>
      </x:c>
      <x:c r="F416" s="19" t="n">
        <x:v>65404</x:v>
      </x:c>
    </x:row>
    <x:row r="417">
      <x:c r="A417" s="17" t="n">
        <x:v>43658</x:v>
      </x:c>
      <x:c r="B417" s="18" t="n">
        <x:v>1404.51</x:v>
      </x:c>
      <x:c r="C417" s="18" t="n">
        <x:v>1416.84</x:v>
      </x:c>
      <x:c r="D417" s="18" t="n">
        <x:v>1403.08</x:v>
      </x:c>
      <x:c r="E417" s="18" t="n">
        <x:v>1414.83</x:v>
      </x:c>
      <x:c r="F417" s="19" t="n">
        <x:v>53268</x:v>
      </x:c>
    </x:row>
    <x:row r="418">
      <x:c r="A418" s="17" t="n">
        <x:v>43661</x:v>
      </x:c>
      <x:c r="B418" s="18" t="n">
        <x:v>1416.52</x:v>
      </x:c>
      <x:c r="C418" s="18" t="n">
        <x:v>1419.73</x:v>
      </x:c>
      <x:c r="D418" s="18" t="n">
        <x:v>1407.63</x:v>
      </x:c>
      <x:c r="E418" s="18" t="n">
        <x:v>1413.7</x:v>
      </x:c>
      <x:c r="F418" s="19" t="n">
        <x:v>48080</x:v>
      </x:c>
    </x:row>
    <x:row r="419">
      <x:c r="A419" s="17" t="n">
        <x:v>43662</x:v>
      </x:c>
      <x:c r="B419" s="18" t="n">
        <x:v>1414.44</x:v>
      </x:c>
      <x:c r="C419" s="18" t="n">
        <x:v>1418.22</x:v>
      </x:c>
      <x:c r="D419" s="18" t="n">
        <x:v>1400.68</x:v>
      </x:c>
      <x:c r="E419" s="18" t="n">
        <x:v>1405.82</x:v>
      </x:c>
      <x:c r="F419" s="19" t="n">
        <x:v>54713</x:v>
      </x:c>
    </x:row>
    <x:row r="420">
      <x:c r="A420" s="17" t="n">
        <x:v>43663</x:v>
      </x:c>
      <x:c r="B420" s="18" t="n">
        <x:v>1406.48</x:v>
      </x:c>
      <x:c r="C420" s="18" t="n">
        <x:v>1426.75</x:v>
      </x:c>
      <x:c r="D420" s="18" t="n">
        <x:v>1400.01</x:v>
      </x:c>
      <x:c r="E420" s="18" t="n">
        <x:v>1426.21</x:v>
      </x:c>
      <x:c r="F420" s="19" t="n">
        <x:v>51546</x:v>
      </x:c>
    </x:row>
    <x:row r="421">
      <x:c r="A421" s="17" t="n">
        <x:v>43664</x:v>
      </x:c>
      <x:c r="B421" s="18" t="n">
        <x:v>1426.3</x:v>
      </x:c>
      <x:c r="C421" s="18" t="n">
        <x:v>1448.07</x:v>
      </x:c>
      <x:c r="D421" s="18" t="n">
        <x:v>1414.56</x:v>
      </x:c>
      <x:c r="E421" s="18" t="n">
        <x:v>1445.65</x:v>
      </x:c>
      <x:c r="F421" s="19" t="n">
        <x:v>78476</x:v>
      </x:c>
    </x:row>
    <x:row r="422">
      <x:c r="A422" s="17" t="n">
        <x:v>43665</x:v>
      </x:c>
      <x:c r="B422" s="18" t="n">
        <x:v>1448.13</x:v>
      </x:c>
      <x:c r="C422" s="18" t="n">
        <x:v>1452.92</x:v>
      </x:c>
      <x:c r="D422" s="18" t="n">
        <x:v>1420.13</x:v>
      </x:c>
      <x:c r="E422" s="18" t="n">
        <x:v>1424.96</x:v>
      </x:c>
      <x:c r="F422" s="19" t="n">
        <x:v>91707</x:v>
      </x:c>
    </x:row>
    <x:row r="423">
      <x:c r="A423" s="17" t="n">
        <x:v>43668</x:v>
      </x:c>
      <x:c r="B423" s="18" t="n">
        <x:v>1426.44</x:v>
      </x:c>
      <x:c r="C423" s="18" t="n">
        <x:v>1429.98</x:v>
      </x:c>
      <x:c r="D423" s="18" t="n">
        <x:v>1422.18</x:v>
      </x:c>
      <x:c r="E423" s="18" t="n">
        <x:v>1424.67</x:v>
      </x:c>
      <x:c r="F423" s="19" t="n">
        <x:v>61460</x:v>
      </x:c>
    </x:row>
    <x:row r="424">
      <x:c r="A424" s="17" t="n">
        <x:v>43669</x:v>
      </x:c>
      <x:c r="B424" s="18" t="n">
        <x:v>1424.71</x:v>
      </x:c>
      <x:c r="C424" s="18" t="n">
        <x:v>1430.21</x:v>
      </x:c>
      <x:c r="D424" s="18" t="n">
        <x:v>1414.13</x:v>
      </x:c>
      <x:c r="E424" s="18" t="n">
        <x:v>1417.6</x:v>
      </x:c>
      <x:c r="F424" s="19" t="n">
        <x:v>61934</x:v>
      </x:c>
    </x:row>
    <x:row r="425">
      <x:c r="A425" s="17" t="n">
        <x:v>43670</x:v>
      </x:c>
      <x:c r="B425" s="18" t="n">
        <x:v>1417.19</x:v>
      </x:c>
      <x:c r="C425" s="18" t="n">
        <x:v>1429.51</x:v>
      </x:c>
      <x:c r="D425" s="18" t="n">
        <x:v>1416.27</x:v>
      </x:c>
      <x:c r="E425" s="18" t="n">
        <x:v>1425.11</x:v>
      </x:c>
      <x:c r="F425" s="19" t="n">
        <x:v>58410</x:v>
      </x:c>
    </x:row>
    <x:row r="426">
      <x:c r="A426" s="17" t="n">
        <x:v>43671</x:v>
      </x:c>
      <x:c r="B426" s="18" t="n">
        <x:v>1425.24</x:v>
      </x:c>
      <x:c r="C426" s="18" t="n">
        <x:v>1433.73</x:v>
      </x:c>
      <x:c r="D426" s="18" t="n">
        <x:v>1411</x:v>
      </x:c>
      <x:c r="E426" s="18" t="n">
        <x:v>1414.11</x:v>
      </x:c>
      <x:c r="F426" s="19" t="n">
        <x:v>70765</x:v>
      </x:c>
    </x:row>
    <x:row r="427">
      <x:c r="A427" s="17" t="n">
        <x:v>43672</x:v>
      </x:c>
      <x:c r="B427" s="18" t="n">
        <x:v>1414.84</x:v>
      </x:c>
      <x:c r="C427" s="18" t="n">
        <x:v>1424.79</x:v>
      </x:c>
      <x:c r="D427" s="18" t="n">
        <x:v>1413.4</x:v>
      </x:c>
      <x:c r="E427" s="18" t="n">
        <x:v>1418.31</x:v>
      </x:c>
      <x:c r="F427" s="19" t="n">
        <x:v>47512</x:v>
      </x:c>
    </x:row>
    <x:row r="428">
      <x:c r="A428" s="17" t="n">
        <x:v>43675</x:v>
      </x:c>
      <x:c r="B428" s="18" t="n">
        <x:v>1420.75</x:v>
      </x:c>
      <x:c r="C428" s="18" t="n">
        <x:v>1428.11</x:v>
      </x:c>
      <x:c r="D428" s="18" t="n">
        <x:v>1414.8</x:v>
      </x:c>
      <x:c r="E428" s="18" t="n">
        <x:v>1426.62</x:v>
      </x:c>
      <x:c r="F428" s="19" t="n">
        <x:v>36670</x:v>
      </x:c>
    </x:row>
    <x:row r="429">
      <x:c r="A429" s="17" t="n">
        <x:v>43676</x:v>
      </x:c>
      <x:c r="B429" s="18" t="n">
        <x:v>1425.73</x:v>
      </x:c>
      <x:c r="C429" s="18" t="n">
        <x:v>1433.2</x:v>
      </x:c>
      <x:c r="D429" s="18" t="n">
        <x:v>1422.26</x:v>
      </x:c>
      <x:c r="E429" s="18" t="n">
        <x:v>1430.61</x:v>
      </x:c>
      <x:c r="F429" s="19" t="n">
        <x:v>45064</x:v>
      </x:c>
    </x:row>
    <x:row r="430">
      <x:c r="A430" s="17" t="n">
        <x:v>43677</x:v>
      </x:c>
      <x:c r="B430" s="18" t="n">
        <x:v>1430.57</x:v>
      </x:c>
      <x:c r="C430" s="18" t="n">
        <x:v>1434.47</x:v>
      </x:c>
      <x:c r="D430" s="18" t="n">
        <x:v>1410.17</x:v>
      </x:c>
      <x:c r="E430" s="18" t="n">
        <x:v>1412.23</x:v>
      </x:c>
      <x:c r="F430" s="19" t="n">
        <x:v>75264</x:v>
      </x:c>
    </x:row>
    <x:row r="431">
      <x:c r="A431" s="17" t="n">
        <x:v>43678</x:v>
      </x:c>
      <x:c r="B431" s="18" t="n">
        <x:v>1415.85</x:v>
      </x:c>
      <x:c r="C431" s="18" t="n">
        <x:v>1445.95</x:v>
      </x:c>
      <x:c r="D431" s="18" t="n">
        <x:v>1400.44</x:v>
      </x:c>
      <x:c r="E431" s="18" t="n">
        <x:v>1444.89</x:v>
      </x:c>
      <x:c r="F431" s="19" t="n">
        <x:v>91909</x:v>
      </x:c>
    </x:row>
    <x:row r="432">
      <x:c r="A432" s="17" t="n">
        <x:v>43679</x:v>
      </x:c>
      <x:c r="B432" s="18" t="n">
        <x:v>1445.59</x:v>
      </x:c>
      <x:c r="C432" s="18" t="n">
        <x:v>1447.93</x:v>
      </x:c>
      <x:c r="D432" s="18" t="n">
        <x:v>1430.29</x:v>
      </x:c>
      <x:c r="E432" s="18" t="n">
        <x:v>1440.32</x:v>
      </x:c>
      <x:c r="F432" s="19" t="n">
        <x:v>109809</x:v>
      </x:c>
    </x:row>
    <x:row r="433">
      <x:c r="A433" s="17" t="n">
        <x:v>43682</x:v>
      </x:c>
      <x:c r="B433" s="18" t="n">
        <x:v>1440.29</x:v>
      </x:c>
      <x:c r="C433" s="18" t="n">
        <x:v>1469.72</x:v>
      </x:c>
      <x:c r="D433" s="18" t="n">
        <x:v>1436.67</x:v>
      </x:c>
      <x:c r="E433" s="18" t="n">
        <x:v>1463.72</x:v>
      </x:c>
      <x:c r="F433" s="19" t="n">
        <x:v>111163</x:v>
      </x:c>
    </x:row>
    <x:row r="434">
      <x:c r="A434" s="17" t="n">
        <x:v>43683</x:v>
      </x:c>
      <x:c r="B434" s="18" t="n">
        <x:v>1467.57</x:v>
      </x:c>
      <x:c r="C434" s="18" t="n">
        <x:v>1474.81</x:v>
      </x:c>
      <x:c r="D434" s="18" t="n">
        <x:v>1456.33</x:v>
      </x:c>
      <x:c r="E434" s="18" t="n">
        <x:v>1474.27</x:v>
      </x:c>
      <x:c r="F434" s="19" t="n">
        <x:v>98081</x:v>
      </x:c>
    </x:row>
    <x:row r="435">
      <x:c r="A435" s="17" t="n">
        <x:v>43684</x:v>
      </x:c>
      <x:c r="B435" s="18" t="n">
        <x:v>1474.58</x:v>
      </x:c>
      <x:c r="C435" s="18" t="n">
        <x:v>1510.33</x:v>
      </x:c>
      <x:c r="D435" s="18" t="n">
        <x:v>1472.18</x:v>
      </x:c>
      <x:c r="E435" s="18" t="n">
        <x:v>1501.25</x:v>
      </x:c>
      <x:c r="F435" s="19" t="n">
        <x:v>134373</x:v>
      </x:c>
    </x:row>
    <x:row r="436">
      <x:c r="A436" s="17" t="n">
        <x:v>43685</x:v>
      </x:c>
      <x:c r="B436" s="18" t="n">
        <x:v>1498.84</x:v>
      </x:c>
      <x:c r="C436" s="18" t="n">
        <x:v>1509.53</x:v>
      </x:c>
      <x:c r="D436" s="18" t="n">
        <x:v>1489.97</x:v>
      </x:c>
      <x:c r="E436" s="18" t="n">
        <x:v>1500.88</x:v>
      </x:c>
      <x:c r="F436" s="19" t="n">
        <x:v>101100</x:v>
      </x:c>
    </x:row>
    <x:row r="437">
      <x:c r="A437" s="17" t="n">
        <x:v>43686</x:v>
      </x:c>
      <x:c r="B437" s="18" t="n">
        <x:v>1506.34</x:v>
      </x:c>
      <x:c r="C437" s="18" t="n">
        <x:v>1508.09</x:v>
      </x:c>
      <x:c r="D437" s="18" t="n">
        <x:v>1494.74</x:v>
      </x:c>
      <x:c r="E437" s="18" t="n">
        <x:v>1497.02</x:v>
      </x:c>
      <x:c r="F437" s="19" t="n">
        <x:v>88737</x:v>
      </x:c>
    </x:row>
    <x:row r="438">
      <x:c r="A438" s="17" t="n">
        <x:v>43689</x:v>
      </x:c>
      <x:c r="B438" s="18" t="n">
        <x:v>1496.05</x:v>
      </x:c>
      <x:c r="C438" s="18" t="n">
        <x:v>1519.99</x:v>
      </x:c>
      <x:c r="D438" s="18" t="n">
        <x:v>1487.2</x:v>
      </x:c>
      <x:c r="E438" s="18" t="n">
        <x:v>1511.72</x:v>
      </x:c>
      <x:c r="F438" s="19" t="n">
        <x:v>77110</x:v>
      </x:c>
    </x:row>
    <x:row r="439">
      <x:c r="A439" s="17" t="n">
        <x:v>43690</x:v>
      </x:c>
      <x:c r="B439" s="18" t="n">
        <x:v>1510.51</x:v>
      </x:c>
      <x:c r="C439" s="18" t="n">
        <x:v>1534.95</x:v>
      </x:c>
      <x:c r="D439" s="18" t="n">
        <x:v>1479.77</x:v>
      </x:c>
      <x:c r="E439" s="18" t="n">
        <x:v>1501.35</x:v>
      </x:c>
      <x:c r="F439" s="19" t="n">
        <x:v>121062</x:v>
      </x:c>
    </x:row>
    <x:row r="440">
      <x:c r="A440" s="17" t="n">
        <x:v>43691</x:v>
      </x:c>
      <x:c r="B440" s="18" t="n">
        <x:v>1501.62</x:v>
      </x:c>
      <x:c r="C440" s="18" t="n">
        <x:v>1524.03</x:v>
      </x:c>
      <x:c r="D440" s="18" t="n">
        <x:v>1493.78</x:v>
      </x:c>
      <x:c r="E440" s="18" t="n">
        <x:v>1516.18</x:v>
      </x:c>
      <x:c r="F440" s="19" t="n">
        <x:v>121466</x:v>
      </x:c>
    </x:row>
    <x:row r="441">
      <x:c r="A441" s="17" t="n">
        <x:v>43692</x:v>
      </x:c>
      <x:c r="B441" s="18" t="n">
        <x:v>1518.59</x:v>
      </x:c>
      <x:c r="C441" s="18" t="n">
        <x:v>1526.97</x:v>
      </x:c>
      <x:c r="D441" s="18" t="n">
        <x:v>1507.81</x:v>
      </x:c>
      <x:c r="E441" s="18" t="n">
        <x:v>1523.42</x:v>
      </x:c>
      <x:c r="F441" s="19" t="n">
        <x:v>135399</x:v>
      </x:c>
    </x:row>
    <x:row r="442">
      <x:c r="A442" s="17" t="n">
        <x:v>43693</x:v>
      </x:c>
      <x:c r="B442" s="18" t="n">
        <x:v>1521.85</x:v>
      </x:c>
      <x:c r="C442" s="18" t="n">
        <x:v>1527.97</x:v>
      </x:c>
      <x:c r="D442" s="18" t="n">
        <x:v>1503.63</x:v>
      </x:c>
      <x:c r="E442" s="18" t="n">
        <x:v>1512.1</x:v>
      </x:c>
      <x:c r="F442" s="19" t="n">
        <x:v>87768</x:v>
      </x:c>
    </x:row>
    <x:row r="443">
      <x:c r="A443" s="17" t="n">
        <x:v>43696</x:v>
      </x:c>
      <x:c r="B443" s="18" t="n">
        <x:v>1509.43</x:v>
      </x:c>
      <x:c r="C443" s="18" t="n">
        <x:v>1512.9</x:v>
      </x:c>
      <x:c r="D443" s="18" t="n">
        <x:v>1493.18</x:v>
      </x:c>
      <x:c r="E443" s="18" t="n">
        <x:v>1495.79</x:v>
      </x:c>
      <x:c r="F443" s="19" t="n">
        <x:v>77501</x:v>
      </x:c>
    </x:row>
    <x:row r="444">
      <x:c r="A444" s="17" t="n">
        <x:v>43697</x:v>
      </x:c>
      <x:c r="B444" s="18" t="n">
        <x:v>1496.54</x:v>
      </x:c>
      <x:c r="C444" s="18" t="n">
        <x:v>1508.55</x:v>
      </x:c>
      <x:c r="D444" s="18" t="n">
        <x:v>1492.93</x:v>
      </x:c>
      <x:c r="E444" s="18" t="n">
        <x:v>1507.36</x:v>
      </x:c>
      <x:c r="F444" s="19" t="n">
        <x:v>63548</x:v>
      </x:c>
    </x:row>
    <x:row r="445">
      <x:c r="A445" s="17" t="n">
        <x:v>43698</x:v>
      </x:c>
      <x:c r="B445" s="18" t="n">
        <x:v>1506.52</x:v>
      </x:c>
      <x:c r="C445" s="18" t="n">
        <x:v>1508.03</x:v>
      </x:c>
      <x:c r="D445" s="18" t="n">
        <x:v>1496.43</x:v>
      </x:c>
      <x:c r="E445" s="18" t="n">
        <x:v>1502.31</x:v>
      </x:c>
      <x:c r="F445" s="19" t="n">
        <x:v>61239</x:v>
      </x:c>
    </x:row>
    <x:row r="446">
      <x:c r="A446" s="17" t="n">
        <x:v>43699</x:v>
      </x:c>
      <x:c r="B446" s="18" t="n">
        <x:v>1501.86</x:v>
      </x:c>
      <x:c r="C446" s="18" t="n">
        <x:v>1504.55</x:v>
      </x:c>
      <x:c r="D446" s="18" t="n">
        <x:v>1492.43</x:v>
      </x:c>
      <x:c r="E446" s="18" t="n">
        <x:v>1498.16</x:v>
      </x:c>
      <x:c r="F446" s="19" t="n">
        <x:v>66041</x:v>
      </x:c>
    </x:row>
    <x:row r="447">
      <x:c r="A447" s="17" t="n">
        <x:v>43700</x:v>
      </x:c>
      <x:c r="B447" s="18" t="n">
        <x:v>1498.54</x:v>
      </x:c>
      <x:c r="C447" s="18" t="n">
        <x:v>1530.2</x:v>
      </x:c>
      <x:c r="D447" s="18" t="n">
        <x:v>1493.47</x:v>
      </x:c>
      <x:c r="E447" s="18" t="n">
        <x:v>1526.25</x:v>
      </x:c>
      <x:c r="F447" s="19" t="n">
        <x:v>98456</x:v>
      </x:c>
    </x:row>
    <x:row r="448">
      <x:c r="A448" s="17" t="n">
        <x:v>43703</x:v>
      </x:c>
      <x:c r="B448" s="18" t="n">
        <x:v>1545.74</x:v>
      </x:c>
      <x:c r="C448" s="18" t="n">
        <x:v>1555.21</x:v>
      </x:c>
      <x:c r="D448" s="18" t="n">
        <x:v>1524.93</x:v>
      </x:c>
      <x:c r="E448" s="18" t="n">
        <x:v>1527.38</x:v>
      </x:c>
      <x:c r="F448" s="19" t="n">
        <x:v>127966</x:v>
      </x:c>
    </x:row>
    <x:row r="449">
      <x:c r="A449" s="17" t="n">
        <x:v>43704</x:v>
      </x:c>
      <x:c r="B449" s="18" t="n">
        <x:v>1527.27</x:v>
      </x:c>
      <x:c r="C449" s="18" t="n">
        <x:v>1544.65</x:v>
      </x:c>
      <x:c r="D449" s="18" t="n">
        <x:v>1525.63</x:v>
      </x:c>
      <x:c r="E449" s="18" t="n">
        <x:v>1542.63</x:v>
      </x:c>
      <x:c r="F449" s="19" t="n">
        <x:v>83672</x:v>
      </x:c>
    </x:row>
    <x:row r="450">
      <x:c r="A450" s="17" t="n">
        <x:v>43705</x:v>
      </x:c>
      <x:c r="B450" s="18" t="n">
        <x:v>1540.96</x:v>
      </x:c>
      <x:c r="C450" s="18" t="n">
        <x:v>1546.83</x:v>
      </x:c>
      <x:c r="D450" s="18" t="n">
        <x:v>1531.79</x:v>
      </x:c>
      <x:c r="E450" s="18" t="n">
        <x:v>1541.01</x:v>
      </x:c>
      <x:c r="F450" s="19" t="n">
        <x:v>89182</x:v>
      </x:c>
    </x:row>
    <x:row r="451">
      <x:c r="A451" s="17" t="n">
        <x:v>43706</x:v>
      </x:c>
      <x:c r="B451" s="18" t="n">
        <x:v>1539.02</x:v>
      </x:c>
      <x:c r="C451" s="18" t="n">
        <x:v>1550.3</x:v>
      </x:c>
      <x:c r="D451" s="18" t="n">
        <x:v>1519.52</x:v>
      </x:c>
      <x:c r="E451" s="18" t="n">
        <x:v>1526.87</x:v>
      </x:c>
      <x:c r="F451" s="19" t="n">
        <x:v>107263</x:v>
      </x:c>
    </x:row>
    <x:row r="452">
      <x:c r="A452" s="17" t="n">
        <x:v>43707</x:v>
      </x:c>
      <x:c r="B452" s="18" t="n">
        <x:v>1527.53</x:v>
      </x:c>
      <x:c r="C452" s="18" t="n">
        <x:v>1533.11</x:v>
      </x:c>
      <x:c r="D452" s="18" t="n">
        <x:v>1516.93</x:v>
      </x:c>
      <x:c r="E452" s="18" t="n">
        <x:v>1520.55</x:v>
      </x:c>
      <x:c r="F452" s="19" t="n">
        <x:v>92368</x:v>
      </x:c>
    </x:row>
    <x:row r="453">
      <x:c r="A453" s="17" t="n">
        <x:v>43710</x:v>
      </x:c>
      <x:c r="B453" s="18" t="n">
        <x:v>1529.39</x:v>
      </x:c>
      <x:c r="C453" s="18" t="n">
        <x:v>1533.77</x:v>
      </x:c>
      <x:c r="D453" s="18" t="n">
        <x:v>1519.22</x:v>
      </x:c>
      <x:c r="E453" s="18" t="n">
        <x:v>1528.96</x:v>
      </x:c>
      <x:c r="F453" s="19" t="n">
        <x:v>50614</x:v>
      </x:c>
    </x:row>
    <x:row r="454">
      <x:c r="A454" s="17" t="n">
        <x:v>43711</x:v>
      </x:c>
      <x:c r="B454" s="18" t="n">
        <x:v>1526.91</x:v>
      </x:c>
      <x:c r="C454" s="18" t="n">
        <x:v>1549.68</x:v>
      </x:c>
      <x:c r="D454" s="18" t="n">
        <x:v>1521.61</x:v>
      </x:c>
      <x:c r="E454" s="18" t="n">
        <x:v>1548.7</x:v>
      </x:c>
      <x:c r="F454" s="19" t="n">
        <x:v>100722</x:v>
      </x:c>
    </x:row>
    <x:row r="455">
      <x:c r="A455" s="17" t="n">
        <x:v>43712</x:v>
      </x:c>
      <x:c r="B455" s="18" t="n">
        <x:v>1546.53</x:v>
      </x:c>
      <x:c r="C455" s="18" t="n">
        <x:v>1556.98</x:v>
      </x:c>
      <x:c r="D455" s="18" t="n">
        <x:v>1533.78</x:v>
      </x:c>
      <x:c r="E455" s="18" t="n">
        <x:v>1552.6</x:v>
      </x:c>
      <x:c r="F455" s="19" t="n">
        <x:v>95612</x:v>
      </x:c>
    </x:row>
    <x:row r="456">
      <x:c r="A456" s="17" t="n">
        <x:v>43713</x:v>
      </x:c>
      <x:c r="B456" s="18" t="n">
        <x:v>1551.44</x:v>
      </x:c>
      <x:c r="C456" s="18" t="n">
        <x:v>1552.95</x:v>
      </x:c>
      <x:c r="D456" s="18" t="n">
        <x:v>1506.19</x:v>
      </x:c>
      <x:c r="E456" s="18" t="n">
        <x:v>1518.89</x:v>
      </x:c>
      <x:c r="F456" s="19" t="n">
        <x:v>103092</x:v>
      </x:c>
    </x:row>
    <x:row r="457">
      <x:c r="A457" s="17" t="n">
        <x:v>43714</x:v>
      </x:c>
      <x:c r="B457" s="18" t="n">
        <x:v>1518.45</x:v>
      </x:c>
      <x:c r="C457" s="18" t="n">
        <x:v>1527.81</x:v>
      </x:c>
      <x:c r="D457" s="18" t="n">
        <x:v>1502.47</x:v>
      </x:c>
      <x:c r="E457" s="18" t="n">
        <x:v>1506.38</x:v>
      </x:c>
      <x:c r="F457" s="19" t="n">
        <x:v>109340</x:v>
      </x:c>
    </x:row>
    <x:row r="458">
      <x:c r="A458" s="17" t="n">
        <x:v>43717</x:v>
      </x:c>
      <x:c r="B458" s="18" t="n">
        <x:v>1503.51</x:v>
      </x:c>
      <x:c r="C458" s="18" t="n">
        <x:v>1515.43</x:v>
      </x:c>
      <x:c r="D458" s="18" t="n">
        <x:v>1497.54</x:v>
      </x:c>
      <x:c r="E458" s="18" t="n">
        <x:v>1498.81</x:v>
      </x:c>
      <x:c r="F458" s="19" t="n">
        <x:v>81607</x:v>
      </x:c>
    </x:row>
    <x:row r="459">
      <x:c r="A459" s="17" t="n">
        <x:v>43718</x:v>
      </x:c>
      <x:c r="B459" s="18" t="n">
        <x:v>1498.32</x:v>
      </x:c>
      <x:c r="C459" s="18" t="n">
        <x:v>1500.97</x:v>
      </x:c>
      <x:c r="D459" s="18" t="n">
        <x:v>1484.45</x:v>
      </x:c>
      <x:c r="E459" s="18" t="n">
        <x:v>1485.77</x:v>
      </x:c>
      <x:c r="F459" s="19" t="n">
        <x:v>87411</x:v>
      </x:c>
    </x:row>
    <x:row r="460">
      <x:c r="A460" s="17" t="n">
        <x:v>43719</x:v>
      </x:c>
      <x:c r="B460" s="18" t="n">
        <x:v>1486.28</x:v>
      </x:c>
      <x:c r="C460" s="18" t="n">
        <x:v>1498.23</x:v>
      </x:c>
      <x:c r="D460" s="18" t="n">
        <x:v>1485.99</x:v>
      </x:c>
      <x:c r="E460" s="18" t="n">
        <x:v>1496.52</x:v>
      </x:c>
      <x:c r="F460" s="19" t="n">
        <x:v>66314</x:v>
      </x:c>
    </x:row>
    <x:row r="461">
      <x:c r="A461" s="17" t="n">
        <x:v>43720</x:v>
      </x:c>
      <x:c r="B461" s="18" t="n">
        <x:v>1496.74</x:v>
      </x:c>
      <x:c r="C461" s="18" t="n">
        <x:v>1524.13</x:v>
      </x:c>
      <x:c r="D461" s="18" t="n">
        <x:v>1489.16</x:v>
      </x:c>
      <x:c r="E461" s="18" t="n">
        <x:v>1498.97</x:v>
      </x:c>
      <x:c r="F461" s="19" t="n">
        <x:v>93718</x:v>
      </x:c>
    </x:row>
    <x:row r="462">
      <x:c r="A462" s="17" t="n">
        <x:v>43721</x:v>
      </x:c>
      <x:c r="B462" s="18" t="n">
        <x:v>1497.62</x:v>
      </x:c>
      <x:c r="C462" s="18" t="n">
        <x:v>1508.94</x:v>
      </x:c>
      <x:c r="D462" s="18" t="n">
        <x:v>1485.71</x:v>
      </x:c>
      <x:c r="E462" s="18" t="n">
        <x:v>1488.55</x:v>
      </x:c>
      <x:c r="F462" s="19" t="n">
        <x:v>73329</x:v>
      </x:c>
    </x:row>
    <x:row r="463">
      <x:c r="A463" s="17" t="n">
        <x:v>43724</x:v>
      </x:c>
      <x:c r="B463" s="18" t="n">
        <x:v>1500.71</x:v>
      </x:c>
      <x:c r="C463" s="18" t="n">
        <x:v>1512.09</x:v>
      </x:c>
      <x:c r="D463" s="18" t="n">
        <x:v>1495.83</x:v>
      </x:c>
      <x:c r="E463" s="18" t="n">
        <x:v>1498.4</x:v>
      </x:c>
      <x:c r="F463" s="19" t="n">
        <x:v>84660</x:v>
      </x:c>
    </x:row>
    <x:row r="464">
      <x:c r="A464" s="17" t="n">
        <x:v>43725</x:v>
      </x:c>
      <x:c r="B464" s="18" t="n">
        <x:v>1498.49</x:v>
      </x:c>
      <x:c r="C464" s="18" t="n">
        <x:v>1507.03</x:v>
      </x:c>
      <x:c r="D464" s="18" t="n">
        <x:v>1493.39</x:v>
      </x:c>
      <x:c r="E464" s="18" t="n">
        <x:v>1501.32</x:v>
      </x:c>
      <x:c r="F464" s="19" t="n">
        <x:v>67403</x:v>
      </x:c>
    </x:row>
    <x:row r="465">
      <x:c r="A465" s="17" t="n">
        <x:v>43726</x:v>
      </x:c>
      <x:c r="B465" s="18" t="n">
        <x:v>1501.47</x:v>
      </x:c>
      <x:c r="C465" s="18" t="n">
        <x:v>1511.54</x:v>
      </x:c>
      <x:c r="D465" s="18" t="n">
        <x:v>1482.97</x:v>
      </x:c>
      <x:c r="E465" s="18" t="n">
        <x:v>1493.24</x:v>
      </x:c>
      <x:c r="F465" s="19" t="n">
        <x:v>65272</x:v>
      </x:c>
    </x:row>
    <x:row r="466">
      <x:c r="A466" s="17" t="n">
        <x:v>43727</x:v>
      </x:c>
      <x:c r="B466" s="18" t="n">
        <x:v>1492.89</x:v>
      </x:c>
      <x:c r="C466" s="18" t="n">
        <x:v>1504.45</x:v>
      </x:c>
      <x:c r="D466" s="18" t="n">
        <x:v>1488.92</x:v>
      </x:c>
      <x:c r="E466" s="18" t="n">
        <x:v>1498.47</x:v>
      </x:c>
      <x:c r="F466" s="19" t="n">
        <x:v>74260</x:v>
      </x:c>
    </x:row>
    <x:row r="467">
      <x:c r="A467" s="17" t="n">
        <x:v>43728</x:v>
      </x:c>
      <x:c r="B467" s="18" t="n">
        <x:v>1499.19</x:v>
      </x:c>
      <x:c r="C467" s="18" t="n">
        <x:v>1517.01</x:v>
      </x:c>
      <x:c r="D467" s="18" t="n">
        <x:v>1497.89</x:v>
      </x:c>
      <x:c r="E467" s="18" t="n">
        <x:v>1516.27</x:v>
      </x:c>
      <x:c r="F467" s="19" t="n">
        <x:v>60729</x:v>
      </x:c>
    </x:row>
    <x:row r="468">
      <x:c r="A468" s="17" t="n">
        <x:v>43731</x:v>
      </x:c>
      <x:c r="B468" s="18" t="n">
        <x:v>1512.63</x:v>
      </x:c>
      <x:c r="C468" s="18" t="n">
        <x:v>1526.77</x:v>
      </x:c>
      <x:c r="D468" s="18" t="n">
        <x:v>1511.48</x:v>
      </x:c>
      <x:c r="E468" s="18" t="n">
        <x:v>1522.12</x:v>
      </x:c>
      <x:c r="F468" s="19" t="n">
        <x:v>71616</x:v>
      </x:c>
    </x:row>
    <x:row r="469">
      <x:c r="A469" s="17" t="n">
        <x:v>43732</x:v>
      </x:c>
      <x:c r="B469" s="18" t="n">
        <x:v>1523.09</x:v>
      </x:c>
      <x:c r="C469" s="18" t="n">
        <x:v>1535.63</x:v>
      </x:c>
      <x:c r="D469" s="18" t="n">
        <x:v>1515.55</x:v>
      </x:c>
      <x:c r="E469" s="18" t="n">
        <x:v>1531.17</x:v>
      </x:c>
      <x:c r="F469" s="19" t="n">
        <x:v>77381</x:v>
      </x:c>
    </x:row>
    <x:row r="470">
      <x:c r="A470" s="17" t="n">
        <x:v>43733</x:v>
      </x:c>
      <x:c r="B470" s="18" t="n">
        <x:v>1533.29</x:v>
      </x:c>
      <x:c r="C470" s="18" t="n">
        <x:v>1535.08</x:v>
      </x:c>
      <x:c r="D470" s="18" t="n">
        <x:v>1500.4</x:v>
      </x:c>
      <x:c r="E470" s="18" t="n">
        <x:v>1503.64</x:v>
      </x:c>
      <x:c r="F470" s="19" t="n">
        <x:v>84604</x:v>
      </x:c>
    </x:row>
    <x:row r="471">
      <x:c r="A471" s="17" t="n">
        <x:v>43734</x:v>
      </x:c>
      <x:c r="B471" s="18" t="n">
        <x:v>1503.66</x:v>
      </x:c>
      <x:c r="C471" s="18" t="n">
        <x:v>1512.25</x:v>
      </x:c>
      <x:c r="D471" s="18" t="n">
        <x:v>1500.25</x:v>
      </x:c>
      <x:c r="E471" s="18" t="n">
        <x:v>1504.56</x:v>
      </x:c>
      <x:c r="F471" s="19" t="n">
        <x:v>74798</x:v>
      </x:c>
    </x:row>
    <x:row r="472">
      <x:c r="A472" s="17" t="n">
        <x:v>43735</x:v>
      </x:c>
      <x:c r="B472" s="18" t="n">
        <x:v>1503.95</x:v>
      </x:c>
      <x:c r="C472" s="18" t="n">
        <x:v>1507.34</x:v>
      </x:c>
      <x:c r="D472" s="18" t="n">
        <x:v>1486.79</x:v>
      </x:c>
      <x:c r="E472" s="18" t="n">
        <x:v>1496.61</x:v>
      </x:c>
      <x:c r="F472" s="19" t="n">
        <x:v>87365</x:v>
      </x:c>
    </x:row>
    <x:row r="473">
      <x:c r="A473" s="17" t="n">
        <x:v>43738</x:v>
      </x:c>
      <x:c r="B473" s="18" t="n">
        <x:v>1496.25</x:v>
      </x:c>
      <x:c r="C473" s="18" t="n">
        <x:v>1500.41</x:v>
      </x:c>
      <x:c r="D473" s="18" t="n">
        <x:v>1464.43</x:v>
      </x:c>
      <x:c r="E473" s="18" t="n">
        <x:v>1472.29</x:v>
      </x:c>
      <x:c r="F473" s="19" t="n">
        <x:v>85679</x:v>
      </x:c>
    </x:row>
    <x:row r="474">
      <x:c r="A474" s="17" t="n">
        <x:v>43739</x:v>
      </x:c>
      <x:c r="B474" s="18" t="n">
        <x:v>1472.93</x:v>
      </x:c>
      <x:c r="C474" s="18" t="n">
        <x:v>1487.19</x:v>
      </x:c>
      <x:c r="D474" s="18" t="n">
        <x:v>1459.03</x:v>
      </x:c>
      <x:c r="E474" s="18" t="n">
        <x:v>1479.38</x:v>
      </x:c>
      <x:c r="F474" s="19" t="n">
        <x:v>91422</x:v>
      </x:c>
    </x:row>
    <x:row r="475">
      <x:c r="A475" s="17" t="n">
        <x:v>43740</x:v>
      </x:c>
      <x:c r="B475" s="18" t="n">
        <x:v>1480.06</x:v>
      </x:c>
      <x:c r="C475" s="18" t="n">
        <x:v>1505.02</x:v>
      </x:c>
      <x:c r="D475" s="18" t="n">
        <x:v>1474.44</x:v>
      </x:c>
      <x:c r="E475" s="18" t="n">
        <x:v>1499.92</x:v>
      </x:c>
      <x:c r="F475" s="19" t="n">
        <x:v>90625</x:v>
      </x:c>
    </x:row>
    <x:row r="476">
      <x:c r="A476" s="17" t="n">
        <x:v>43741</x:v>
      </x:c>
      <x:c r="B476" s="18" t="n">
        <x:v>1498.96</x:v>
      </x:c>
      <x:c r="C476" s="18" t="n">
        <x:v>1519.48</x:v>
      </x:c>
      <x:c r="D476" s="18" t="n">
        <x:v>1495.76</x:v>
      </x:c>
      <x:c r="E476" s="18" t="n">
        <x:v>1504.83</x:v>
      </x:c>
      <x:c r="F476" s="19" t="n">
        <x:v>93063</x:v>
      </x:c>
    </x:row>
    <x:row r="477">
      <x:c r="A477" s="17" t="n">
        <x:v>43742</x:v>
      </x:c>
      <x:c r="B477" s="18" t="n">
        <x:v>1506.04</x:v>
      </x:c>
      <x:c r="C477" s="18" t="n">
        <x:v>1515.54</x:v>
      </x:c>
      <x:c r="D477" s="18" t="n">
        <x:v>1495.77</x:v>
      </x:c>
      <x:c r="E477" s="18" t="n">
        <x:v>1504.5</x:v>
      </x:c>
      <x:c r="F477" s="19" t="n">
        <x:v>88317</x:v>
      </x:c>
    </x:row>
    <x:row r="478">
      <x:c r="A478" s="17" t="n">
        <x:v>43745</x:v>
      </x:c>
      <x:c r="B478" s="18" t="n">
        <x:v>1508.53</x:v>
      </x:c>
      <x:c r="C478" s="18" t="n">
        <x:v>1509.25</x:v>
      </x:c>
      <x:c r="D478" s="18" t="n">
        <x:v>1487.97</x:v>
      </x:c>
      <x:c r="E478" s="18" t="n">
        <x:v>1493.27</x:v>
      </x:c>
      <x:c r="F478" s="19" t="n">
        <x:v>86523</x:v>
      </x:c>
    </x:row>
    <x:row r="479">
      <x:c r="A479" s="17" t="n">
        <x:v>43746</x:v>
      </x:c>
      <x:c r="B479" s="18" t="n">
        <x:v>1493.37</x:v>
      </x:c>
      <x:c r="C479" s="18" t="n">
        <x:v>1509.65</x:v>
      </x:c>
      <x:c r="D479" s="18" t="n">
        <x:v>1486.81</x:v>
      </x:c>
      <x:c r="E479" s="18" t="n">
        <x:v>1505.48</x:v>
      </x:c>
      <x:c r="F479" s="19" t="n">
        <x:v>107974</x:v>
      </x:c>
    </x:row>
    <x:row r="480">
      <x:c r="A480" s="17" t="n">
        <x:v>43747</x:v>
      </x:c>
      <x:c r="B480" s="18" t="n">
        <x:v>1506.45</x:v>
      </x:c>
      <x:c r="C480" s="18" t="n">
        <x:v>1512.34</x:v>
      </x:c>
      <x:c r="D480" s="18" t="n">
        <x:v>1499.8</x:v>
      </x:c>
      <x:c r="E480" s="18" t="n">
        <x:v>1505.42</x:v>
      </x:c>
      <x:c r="F480" s="19" t="n">
        <x:v>86218</x:v>
      </x:c>
    </x:row>
    <x:row r="481">
      <x:c r="A481" s="17" t="n">
        <x:v>43748</x:v>
      </x:c>
      <x:c r="B481" s="18" t="n">
        <x:v>1505.7</x:v>
      </x:c>
      <x:c r="C481" s="18" t="n">
        <x:v>1516.98</x:v>
      </x:c>
      <x:c r="D481" s="18" t="n">
        <x:v>1491.02</x:v>
      </x:c>
      <x:c r="E481" s="18" t="n">
        <x:v>1493.39</x:v>
      </x:c>
      <x:c r="F481" s="19" t="n">
        <x:v>115499</x:v>
      </x:c>
    </x:row>
    <x:row r="482">
      <x:c r="A482" s="17" t="n">
        <x:v>43749</x:v>
      </x:c>
      <x:c r="B482" s="18" t="n">
        <x:v>1494.46</x:v>
      </x:c>
      <x:c r="C482" s="18" t="n">
        <x:v>1503.13</x:v>
      </x:c>
      <x:c r="D482" s="18" t="n">
        <x:v>1473.93</x:v>
      </x:c>
      <x:c r="E482" s="18" t="n">
        <x:v>1487.93</x:v>
      </x:c>
      <x:c r="F482" s="19" t="n">
        <x:v>118368</x:v>
      </x:c>
    </x:row>
    <x:row r="483">
      <x:c r="A483" s="17" t="n">
        <x:v>43752</x:v>
      </x:c>
      <x:c r="B483" s="18" t="n">
        <x:v>1486.43</x:v>
      </x:c>
      <x:c r="C483" s="18" t="n">
        <x:v>1497.06</x:v>
      </x:c>
      <x:c r="D483" s="18" t="n">
        <x:v>1482.77</x:v>
      </x:c>
      <x:c r="E483" s="18" t="n">
        <x:v>1493.03</x:v>
      </x:c>
      <x:c r="F483" s="19" t="n">
        <x:v>74909</x:v>
      </x:c>
    </x:row>
    <x:row r="484">
      <x:c r="A484" s="17" t="n">
        <x:v>43753</x:v>
      </x:c>
      <x:c r="B484" s="18" t="n">
        <x:v>1492.37</x:v>
      </x:c>
      <x:c r="C484" s="18" t="n">
        <x:v>1498.53</x:v>
      </x:c>
      <x:c r="D484" s="18" t="n">
        <x:v>1477.13</x:v>
      </x:c>
      <x:c r="E484" s="18" t="n">
        <x:v>1481</x:v>
      </x:c>
      <x:c r="F484" s="19" t="n">
        <x:v>85309</x:v>
      </x:c>
    </x:row>
    <x:row r="485">
      <x:c r="A485" s="17" t="n">
        <x:v>43754</x:v>
      </x:c>
      <x:c r="B485" s="18" t="n">
        <x:v>1481.09</x:v>
      </x:c>
      <x:c r="C485" s="18" t="n">
        <x:v>1491.51</x:v>
      </x:c>
      <x:c r="D485" s="18" t="n">
        <x:v>1476.96</x:v>
      </x:c>
      <x:c r="E485" s="18" t="n">
        <x:v>1489.52</x:v>
      </x:c>
      <x:c r="F485" s="19" t="n">
        <x:v>91869</x:v>
      </x:c>
    </x:row>
    <x:row r="486">
      <x:c r="A486" s="17" t="n">
        <x:v>43755</x:v>
      </x:c>
      <x:c r="B486" s="18" t="n">
        <x:v>1489.99</x:v>
      </x:c>
      <x:c r="C486" s="18" t="n">
        <x:v>1497.31</x:v>
      </x:c>
      <x:c r="D486" s="18" t="n">
        <x:v>1483.37</x:v>
      </x:c>
      <x:c r="E486" s="18" t="n">
        <x:v>1492.23</x:v>
      </x:c>
      <x:c r="F486" s="19" t="n">
        <x:v>81532</x:v>
      </x:c>
    </x:row>
    <x:row r="487">
      <x:c r="A487" s="17" t="n">
        <x:v>43756</x:v>
      </x:c>
      <x:c r="B487" s="18" t="n">
        <x:v>1491.98</x:v>
      </x:c>
      <x:c r="C487" s="18" t="n">
        <x:v>1494.17</x:v>
      </x:c>
      <x:c r="D487" s="18" t="n">
        <x:v>1484.81</x:v>
      </x:c>
      <x:c r="E487" s="18" t="n">
        <x:v>1489.93</x:v>
      </x:c>
      <x:c r="F487" s="19" t="n">
        <x:v>72019</x:v>
      </x:c>
    </x:row>
    <x:row r="488">
      <x:c r="A488" s="17" t="n">
        <x:v>43759</x:v>
      </x:c>
      <x:c r="B488" s="18" t="n">
        <x:v>1491.65</x:v>
      </x:c>
      <x:c r="C488" s="18" t="n">
        <x:v>1495.17</x:v>
      </x:c>
      <x:c r="D488" s="18" t="n">
        <x:v>1481.42</x:v>
      </x:c>
      <x:c r="E488" s="18" t="n">
        <x:v>1484.06</x:v>
      </x:c>
      <x:c r="F488" s="19" t="n">
        <x:v>73746</x:v>
      </x:c>
    </x:row>
    <x:row r="489">
      <x:c r="A489" s="17" t="n">
        <x:v>43760</x:v>
      </x:c>
      <x:c r="B489" s="18" t="n">
        <x:v>1484.53</x:v>
      </x:c>
      <x:c r="C489" s="18" t="n">
        <x:v>1488.93</x:v>
      </x:c>
      <x:c r="D489" s="18" t="n">
        <x:v>1480.78</x:v>
      </x:c>
      <x:c r="E489" s="18" t="n">
        <x:v>1487.77</x:v>
      </x:c>
      <x:c r="F489" s="19" t="n">
        <x:v>69834</x:v>
      </x:c>
    </x:row>
    <x:row r="490">
      <x:c r="A490" s="17" t="n">
        <x:v>43761</x:v>
      </x:c>
      <x:c r="B490" s="18" t="n">
        <x:v>1487.93</x:v>
      </x:c>
      <x:c r="C490" s="18" t="n">
        <x:v>1496.23</x:v>
      </x:c>
      <x:c r="D490" s="18" t="n">
        <x:v>1487.62</x:v>
      </x:c>
      <x:c r="E490" s="18" t="n">
        <x:v>1491.75</x:v>
      </x:c>
      <x:c r="F490" s="19" t="n">
        <x:v>65293</x:v>
      </x:c>
    </x:row>
    <x:row r="491">
      <x:c r="A491" s="17" t="n">
        <x:v>43762</x:v>
      </x:c>
      <x:c r="B491" s="18" t="n">
        <x:v>1491.33</x:v>
      </x:c>
      <x:c r="C491" s="18" t="n">
        <x:v>1503.96</x:v>
      </x:c>
      <x:c r="D491" s="18" t="n">
        <x:v>1487.93</x:v>
      </x:c>
      <x:c r="E491" s="18" t="n">
        <x:v>1502.9</x:v>
      </x:c>
      <x:c r="F491" s="19" t="n">
        <x:v>67974</x:v>
      </x:c>
    </x:row>
    <x:row r="492">
      <x:c r="A492" s="17" t="n">
        <x:v>43763</x:v>
      </x:c>
      <x:c r="B492" s="18" t="n">
        <x:v>1503.03</x:v>
      </x:c>
      <x:c r="C492" s="18" t="n">
        <x:v>1517.93</x:v>
      </x:c>
      <x:c r="D492" s="18" t="n">
        <x:v>1500.55</x:v>
      </x:c>
      <x:c r="E492" s="18" t="n">
        <x:v>1504.16</x:v>
      </x:c>
      <x:c r="F492" s="19" t="n">
        <x:v>76377</x:v>
      </x:c>
    </x:row>
    <x:row r="493">
      <x:c r="A493" s="17" t="n">
        <x:v>43766</x:v>
      </x:c>
      <x:c r="B493" s="18" t="n">
        <x:v>1503.29</x:v>
      </x:c>
      <x:c r="C493" s="18" t="n">
        <x:v>1508.17</x:v>
      </x:c>
      <x:c r="D493" s="18" t="n">
        <x:v>1489.93</x:v>
      </x:c>
      <x:c r="E493" s="18" t="n">
        <x:v>1492.54</x:v>
      </x:c>
      <x:c r="F493" s="19" t="n">
        <x:v>76826</x:v>
      </x:c>
    </x:row>
    <x:row r="494">
      <x:c r="A494" s="17" t="n">
        <x:v>43767</x:v>
      </x:c>
      <x:c r="B494" s="18" t="n">
        <x:v>1491.81</x:v>
      </x:c>
      <x:c r="C494" s="18" t="n">
        <x:v>1494.71</x:v>
      </x:c>
      <x:c r="D494" s="18" t="n">
        <x:v>1483.33</x:v>
      </x:c>
      <x:c r="E494" s="18" t="n">
        <x:v>1487.9</x:v>
      </x:c>
      <x:c r="F494" s="19" t="n">
        <x:v>73054</x:v>
      </x:c>
    </x:row>
    <x:row r="495">
      <x:c r="A495" s="17" t="n">
        <x:v>43768</x:v>
      </x:c>
      <x:c r="B495" s="18" t="n">
        <x:v>1487.39</x:v>
      </x:c>
      <x:c r="C495" s="18" t="n">
        <x:v>1496.52</x:v>
      </x:c>
      <x:c r="D495" s="18" t="n">
        <x:v>1481.08</x:v>
      </x:c>
      <x:c r="E495" s="18" t="n">
        <x:v>1495.6</x:v>
      </x:c>
      <x:c r="F495" s="19" t="n">
        <x:v>74557</x:v>
      </x:c>
    </x:row>
    <x:row r="496">
      <x:c r="A496" s="17" t="n">
        <x:v>43769</x:v>
      </x:c>
      <x:c r="B496" s="18" t="n">
        <x:v>1495.77</x:v>
      </x:c>
      <x:c r="C496" s="18" t="n">
        <x:v>1514.19</x:v>
      </x:c>
      <x:c r="D496" s="18" t="n">
        <x:v>1493.89</x:v>
      </x:c>
      <x:c r="E496" s="18" t="n">
        <x:v>1512.13</x:v>
      </x:c>
      <x:c r="F496" s="19" t="n">
        <x:v>70127</x:v>
      </x:c>
    </x:row>
    <x:row r="497">
      <x:c r="A497" s="17" t="n">
        <x:v>43770</x:v>
      </x:c>
      <x:c r="B497" s="18" t="n">
        <x:v>1512.49</x:v>
      </x:c>
      <x:c r="C497" s="18" t="n">
        <x:v>1516.09</x:v>
      </x:c>
      <x:c r="D497" s="18" t="n">
        <x:v>1503.22</x:v>
      </x:c>
      <x:c r="E497" s="18" t="n">
        <x:v>1513.9</x:v>
      </x:c>
      <x:c r="F497" s="19" t="n">
        <x:v>72696</x:v>
      </x:c>
    </x:row>
    <x:row r="498">
      <x:c r="A498" s="17" t="n">
        <x:v>43773</x:v>
      </x:c>
      <x:c r="B498" s="18" t="n">
        <x:v>1512.69</x:v>
      </x:c>
      <x:c r="C498" s="18" t="n">
        <x:v>1514.77</x:v>
      </x:c>
      <x:c r="D498" s="18" t="n">
        <x:v>1504.34</x:v>
      </x:c>
      <x:c r="E498" s="18" t="n">
        <x:v>1509.48</x:v>
      </x:c>
      <x:c r="F498" s="19" t="n">
        <x:v>60931</x:v>
      </x:c>
    </x:row>
    <x:row r="499">
      <x:c r="A499" s="17" t="n">
        <x:v>43774</x:v>
      </x:c>
      <x:c r="B499" s="18" t="n">
        <x:v>1508.83</x:v>
      </x:c>
      <x:c r="C499" s="18" t="n">
        <x:v>1509.61</x:v>
      </x:c>
      <x:c r="D499" s="18" t="n">
        <x:v>1479.31</x:v>
      </x:c>
      <x:c r="E499" s="18" t="n">
        <x:v>1483.78</x:v>
      </x:c>
      <x:c r="F499" s="19" t="n">
        <x:v>86931</x:v>
      </x:c>
    </x:row>
    <x:row r="500">
      <x:c r="A500" s="17" t="n">
        <x:v>43775</x:v>
      </x:c>
      <x:c r="B500" s="18" t="n">
        <x:v>1483.71</x:v>
      </x:c>
      <x:c r="C500" s="18" t="n">
        <x:v>1494.13</x:v>
      </x:c>
      <x:c r="D500" s="18" t="n">
        <x:v>1482.91</x:v>
      </x:c>
      <x:c r="E500" s="18" t="n">
        <x:v>1490.14</x:v>
      </x:c>
      <x:c r="F500" s="19" t="n">
        <x:v>70392</x:v>
      </x:c>
    </x:row>
    <x:row r="501">
      <x:c r="A501" s="17" t="n">
        <x:v>43776</x:v>
      </x:c>
      <x:c r="B501" s="18" t="n">
        <x:v>1489.79</x:v>
      </x:c>
      <x:c r="C501" s="18" t="n">
        <x:v>1492.21</x:v>
      </x:c>
      <x:c r="D501" s="18" t="n">
        <x:v>1460.46</x:v>
      </x:c>
      <x:c r="E501" s="18" t="n">
        <x:v>1468.52</x:v>
      </x:c>
      <x:c r="F501" s="19" t="n">
        <x:v>100691</x:v>
      </x:c>
    </x:row>
    <x:row r="502">
      <x:c r="A502" s="17" t="n">
        <x:v>43777</x:v>
      </x:c>
      <x:c r="B502" s="18" t="n">
        <x:v>1468.11</x:v>
      </x:c>
      <x:c r="C502" s="18" t="n">
        <x:v>1472.87</x:v>
      </x:c>
      <x:c r="D502" s="18" t="n">
        <x:v>1456.12</x:v>
      </x:c>
      <x:c r="E502" s="18" t="n">
        <x:v>1458.72</x:v>
      </x:c>
      <x:c r="F502" s="19" t="n">
        <x:v>83604</x:v>
      </x:c>
    </x:row>
    <x:row r="503">
      <x:c r="A503" s="17" t="n">
        <x:v>43780</x:v>
      </x:c>
      <x:c r="B503" s="18" t="n">
        <x:v>1460.22</x:v>
      </x:c>
      <x:c r="C503" s="18" t="n">
        <x:v>1466.36</x:v>
      </x:c>
      <x:c r="D503" s="18" t="n">
        <x:v>1448.15</x:v>
      </x:c>
      <x:c r="E503" s="18" t="n">
        <x:v>1455.65</x:v>
      </x:c>
      <x:c r="F503" s="19" t="n">
        <x:v>62464</x:v>
      </x:c>
    </x:row>
    <x:row r="504">
      <x:c r="A504" s="17" t="n">
        <x:v>43781</x:v>
      </x:c>
      <x:c r="B504" s="18" t="n">
        <x:v>1454.99</x:v>
      </x:c>
      <x:c r="C504" s="18" t="n">
        <x:v>1460.32</x:v>
      </x:c>
      <x:c r="D504" s="18" t="n">
        <x:v>1445.57</x:v>
      </x:c>
      <x:c r="E504" s="18" t="n">
        <x:v>1456.3</x:v>
      </x:c>
      <x:c r="F504" s="19" t="n">
        <x:v>88273</x:v>
      </x:c>
    </x:row>
    <x:row r="505">
      <x:c r="A505" s="17" t="n">
        <x:v>43782</x:v>
      </x:c>
      <x:c r="B505" s="18" t="n">
        <x:v>1457.29</x:v>
      </x:c>
      <x:c r="C505" s="18" t="n">
        <x:v>1467</x:v>
      </x:c>
      <x:c r="D505" s="18" t="n">
        <x:v>1456.64</x:v>
      </x:c>
      <x:c r="E505" s="18" t="n">
        <x:v>1463.26</x:v>
      </x:c>
      <x:c r="F505" s="19" t="n">
        <x:v>84024</x:v>
      </x:c>
    </x:row>
    <x:row r="506">
      <x:c r="A506" s="17" t="n">
        <x:v>43783</x:v>
      </x:c>
      <x:c r="B506" s="18" t="n">
        <x:v>1463.99</x:v>
      </x:c>
      <x:c r="C506" s="18" t="n">
        <x:v>1474.55</x:v>
      </x:c>
      <x:c r="D506" s="18" t="n">
        <x:v>1461.07</x:v>
      </x:c>
      <x:c r="E506" s="18" t="n">
        <x:v>1470.97</x:v>
      </x:c>
      <x:c r="F506" s="19" t="n">
        <x:v>79413</x:v>
      </x:c>
    </x:row>
    <x:row r="507">
      <x:c r="A507" s="17" t="n">
        <x:v>43784</x:v>
      </x:c>
      <x:c r="B507" s="18" t="n">
        <x:v>1471.22</x:v>
      </x:c>
      <x:c r="C507" s="18" t="n">
        <x:v>1471.31</x:v>
      </x:c>
      <x:c r="D507" s="18" t="n">
        <x:v>1462.37</x:v>
      </x:c>
      <x:c r="E507" s="18" t="n">
        <x:v>1467.37</x:v>
      </x:c>
      <x:c r="F507" s="19" t="n">
        <x:v>63220</x:v>
      </x:c>
    </x:row>
    <x:row r="508">
      <x:c r="A508" s="17" t="n">
        <x:v>43787</x:v>
      </x:c>
      <x:c r="B508" s="18" t="n">
        <x:v>1467.85</x:v>
      </x:c>
      <x:c r="C508" s="18" t="n">
        <x:v>1473.89</x:v>
      </x:c>
      <x:c r="D508" s="18" t="n">
        <x:v>1456.28</x:v>
      </x:c>
      <x:c r="E508" s="18" t="n">
        <x:v>1470.78</x:v>
      </x:c>
      <x:c r="F508" s="19" t="n">
        <x:v>65688</x:v>
      </x:c>
    </x:row>
    <x:row r="509">
      <x:c r="A509" s="17" t="n">
        <x:v>43788</x:v>
      </x:c>
      <x:c r="B509" s="18" t="n">
        <x:v>1470.65</x:v>
      </x:c>
      <x:c r="C509" s="18" t="n">
        <x:v>1475.23</x:v>
      </x:c>
      <x:c r="D509" s="18" t="n">
        <x:v>1464.72</x:v>
      </x:c>
      <x:c r="E509" s="18" t="n">
        <x:v>1472.31</x:v>
      </x:c>
      <x:c r="F509" s="19" t="n">
        <x:v>70981</x:v>
      </x:c>
    </x:row>
    <x:row r="510">
      <x:c r="A510" s="17" t="n">
        <x:v>43789</x:v>
      </x:c>
      <x:c r="B510" s="18" t="n">
        <x:v>1473.67</x:v>
      </x:c>
      <x:c r="C510" s="18" t="n">
        <x:v>1478.75</x:v>
      </x:c>
      <x:c r="D510" s="18" t="n">
        <x:v>1465.88</x:v>
      </x:c>
      <x:c r="E510" s="18" t="n">
        <x:v>1471.05</x:v>
      </x:c>
      <x:c r="F510" s="19" t="n">
        <x:v>80216</x:v>
      </x:c>
    </x:row>
    <x:row r="511">
      <x:c r="A511" s="17" t="n">
        <x:v>43790</x:v>
      </x:c>
      <x:c r="B511" s="18" t="n">
        <x:v>1474.9</x:v>
      </x:c>
      <x:c r="C511" s="18" t="n">
        <x:v>1475.59</x:v>
      </x:c>
      <x:c r="D511" s="18" t="n">
        <x:v>1462.28</x:v>
      </x:c>
      <x:c r="E511" s="18" t="n">
        <x:v>1464.32</x:v>
      </x:c>
      <x:c r="F511" s="19" t="n">
        <x:v>84627</x:v>
      </x:c>
    </x:row>
    <x:row r="512">
      <x:c r="A512" s="17" t="n">
        <x:v>43791</x:v>
      </x:c>
      <x:c r="B512" s="18" t="n">
        <x:v>1464.37</x:v>
      </x:c>
      <x:c r="C512" s="18" t="n">
        <x:v>1473.18</x:v>
      </x:c>
      <x:c r="D512" s="18" t="n">
        <x:v>1461.25</x:v>
      </x:c>
      <x:c r="E512" s="18" t="n">
        <x:v>1461.81</x:v>
      </x:c>
      <x:c r="F512" s="19" t="n">
        <x:v>69819</x:v>
      </x:c>
    </x:row>
    <x:row r="513">
      <x:c r="A513" s="17" t="n">
        <x:v>43794</x:v>
      </x:c>
      <x:c r="B513" s="18" t="n">
        <x:v>1460.39</x:v>
      </x:c>
      <x:c r="C513" s="18" t="n">
        <x:v>1462.08</x:v>
      </x:c>
      <x:c r="D513" s="18" t="n">
        <x:v>1454</x:v>
      </x:c>
      <x:c r="E513" s="18" t="n">
        <x:v>1454.94</x:v>
      </x:c>
      <x:c r="F513" s="19" t="n">
        <x:v>58527</x:v>
      </x:c>
    </x:row>
    <x:row r="514">
      <x:c r="A514" s="17" t="n">
        <x:v>43795</x:v>
      </x:c>
      <x:c r="B514" s="18" t="n">
        <x:v>1454.94</x:v>
      </x:c>
      <x:c r="C514" s="18" t="n">
        <x:v>1462.87</x:v>
      </x:c>
      <x:c r="D514" s="18" t="n">
        <x:v>1450.02</x:v>
      </x:c>
      <x:c r="E514" s="18" t="n">
        <x:v>1461.3</x:v>
      </x:c>
      <x:c r="F514" s="19" t="n">
        <x:v>55649</x:v>
      </x:c>
    </x:row>
    <x:row r="515">
      <x:c r="A515" s="17" t="n">
        <x:v>43796</x:v>
      </x:c>
      <x:c r="B515" s="18" t="n">
        <x:v>1461.11</x:v>
      </x:c>
      <x:c r="C515" s="18" t="n">
        <x:v>1461.75</x:v>
      </x:c>
      <x:c r="D515" s="18" t="n">
        <x:v>1452.45</x:v>
      </x:c>
      <x:c r="E515" s="18" t="n">
        <x:v>1453.93</x:v>
      </x:c>
      <x:c r="F515" s="19" t="n">
        <x:v>57103</x:v>
      </x:c>
    </x:row>
    <x:row r="516">
      <x:c r="A516" s="17" t="n">
        <x:v>43797</x:v>
      </x:c>
      <x:c r="B516" s="18" t="n">
        <x:v>1455.75</x:v>
      </x:c>
      <x:c r="C516" s="18" t="n">
        <x:v>1458.26</x:v>
      </x:c>
      <x:c r="D516" s="18" t="n">
        <x:v>1454.16</x:v>
      </x:c>
      <x:c r="E516" s="18" t="n">
        <x:v>1455.74</x:v>
      </x:c>
      <x:c r="F516" s="19" t="n">
        <x:v>31775</x:v>
      </x:c>
    </x:row>
    <x:row r="517">
      <x:c r="A517" s="17" t="n">
        <x:v>43798</x:v>
      </x:c>
      <x:c r="B517" s="18" t="n">
        <x:v>1455.39</x:v>
      </x:c>
      <x:c r="C517" s="18" t="n">
        <x:v>1466.53</x:v>
      </x:c>
      <x:c r="D517" s="18" t="n">
        <x:v>1452.94</x:v>
      </x:c>
      <x:c r="E517" s="18" t="n">
        <x:v>1463.83</x:v>
      </x:c>
      <x:c r="F517" s="19" t="n">
        <x:v>48203</x:v>
      </x:c>
    </x:row>
    <x:row r="518">
      <x:c r="A518" s="17" t="n">
        <x:v>43801</x:v>
      </x:c>
      <x:c r="B518" s="18" t="n">
        <x:v>1462.43</x:v>
      </x:c>
      <x:c r="C518" s="18" t="n">
        <x:v>1465.29</x:v>
      </x:c>
      <x:c r="D518" s="18" t="n">
        <x:v>1453.89</x:v>
      </x:c>
      <x:c r="E518" s="18" t="n">
        <x:v>1462.45</x:v>
      </x:c>
      <x:c r="F518" s="19" t="n">
        <x:v>65523</x:v>
      </x:c>
    </x:row>
    <x:row r="519">
      <x:c r="A519" s="17" t="n">
        <x:v>43802</x:v>
      </x:c>
      <x:c r="B519" s="18" t="n">
        <x:v>1461.61</x:v>
      </x:c>
      <x:c r="C519" s="18" t="n">
        <x:v>1481.73</x:v>
      </x:c>
      <x:c r="D519" s="18" t="n">
        <x:v>1459.78</x:v>
      </x:c>
      <x:c r="E519" s="18" t="n">
        <x:v>1477.32</x:v>
      </x:c>
      <x:c r="F519" s="19" t="n">
        <x:v>65924</x:v>
      </x:c>
    </x:row>
    <x:row r="520">
      <x:c r="A520" s="17" t="n">
        <x:v>43803</x:v>
      </x:c>
      <x:c r="B520" s="18" t="n">
        <x:v>1476.47</x:v>
      </x:c>
      <x:c r="C520" s="18" t="n">
        <x:v>1484.01</x:v>
      </x:c>
      <x:c r="D520" s="18" t="n">
        <x:v>1471.35</x:v>
      </x:c>
      <x:c r="E520" s="18" t="n">
        <x:v>1474.33</x:v>
      </x:c>
      <x:c r="F520" s="19" t="n">
        <x:v>79731</x:v>
      </x:c>
    </x:row>
    <x:row r="521">
      <x:c r="A521" s="17" t="n">
        <x:v>43804</x:v>
      </x:c>
      <x:c r="B521" s="18" t="n">
        <x:v>1474.37</x:v>
      </x:c>
      <x:c r="C521" s="18" t="n">
        <x:v>1480.29</x:v>
      </x:c>
      <x:c r="D521" s="18" t="n">
        <x:v>1472.86</x:v>
      </x:c>
      <x:c r="E521" s="18" t="n">
        <x:v>1475.76</x:v>
      </x:c>
      <x:c r="F521" s="19" t="n">
        <x:v>68940</x:v>
      </x:c>
    </x:row>
    <x:row r="522">
      <x:c r="A522" s="17" t="n">
        <x:v>43805</x:v>
      </x:c>
      <x:c r="B522" s="18" t="n">
        <x:v>1476.04</x:v>
      </x:c>
      <x:c r="C522" s="18" t="n">
        <x:v>1479.82</x:v>
      </x:c>
      <x:c r="D522" s="18" t="n">
        <x:v>1458.66</x:v>
      </x:c>
      <x:c r="E522" s="18" t="n">
        <x:v>1459.53</x:v>
      </x:c>
      <x:c r="F522" s="19" t="n">
        <x:v>63328</x:v>
      </x:c>
    </x:row>
    <x:row r="523">
      <x:c r="A523" s="17" t="n">
        <x:v>43808</x:v>
      </x:c>
      <x:c r="B523" s="18" t="n">
        <x:v>1458.58</x:v>
      </x:c>
      <x:c r="C523" s="18" t="n">
        <x:v>1465.35</x:v>
      </x:c>
      <x:c r="D523" s="18" t="n">
        <x:v>1458.48</x:v>
      </x:c>
      <x:c r="E523" s="18" t="n">
        <x:v>1461.71</x:v>
      </x:c>
      <x:c r="F523" s="19" t="n">
        <x:v>46080</x:v>
      </x:c>
    </x:row>
    <x:row r="524">
      <x:c r="A524" s="17" t="n">
        <x:v>43809</x:v>
      </x:c>
      <x:c r="B524" s="18" t="n">
        <x:v>1461.41</x:v>
      </x:c>
      <x:c r="C524" s="18" t="n">
        <x:v>1469.17</x:v>
      </x:c>
      <x:c r="D524" s="18" t="n">
        <x:v>1459.95</x:v>
      </x:c>
      <x:c r="E524" s="18" t="n">
        <x:v>1464.35</x:v>
      </x:c>
      <x:c r="F524" s="19" t="n">
        <x:v>66086</x:v>
      </x:c>
    </x:row>
    <x:row r="525">
      <x:c r="A525" s="17" t="n">
        <x:v>43810</x:v>
      </x:c>
      <x:c r="B525" s="18" t="n">
        <x:v>1464.16</x:v>
      </x:c>
      <x:c r="C525" s="18" t="n">
        <x:v>1478.84</x:v>
      </x:c>
      <x:c r="D525" s="18" t="n">
        <x:v>1462.63</x:v>
      </x:c>
      <x:c r="E525" s="18" t="n">
        <x:v>1474.72</x:v>
      </x:c>
      <x:c r="F525" s="19" t="n">
        <x:v>63369</x:v>
      </x:c>
    </x:row>
    <x:row r="526">
      <x:c r="A526" s="17" t="n">
        <x:v>43811</x:v>
      </x:c>
      <x:c r="B526" s="18" t="n">
        <x:v>1474.89</x:v>
      </x:c>
      <x:c r="C526" s="18" t="n">
        <x:v>1486.69</x:v>
      </x:c>
      <x:c r="D526" s="18" t="n">
        <x:v>1463.89</x:v>
      </x:c>
      <x:c r="E526" s="18" t="n">
        <x:v>1469.4</x:v>
      </x:c>
      <x:c r="F526" s="19" t="n">
        <x:v>80536</x:v>
      </x:c>
    </x:row>
    <x:row r="527">
      <x:c r="A527" s="17" t="n">
        <x:v>43812</x:v>
      </x:c>
      <x:c r="B527" s="18" t="n">
        <x:v>1466.57</x:v>
      </x:c>
      <x:c r="C527" s="18" t="n">
        <x:v>1478</x:v>
      </x:c>
      <x:c r="D527" s="18" t="n">
        <x:v>1461.73</x:v>
      </x:c>
      <x:c r="E527" s="18" t="n">
        <x:v>1475.44</x:v>
      </x:c>
      <x:c r="F527" s="19" t="n">
        <x:v>92543</x:v>
      </x:c>
    </x:row>
    <x:row r="528">
      <x:c r="A528" s="17" t="n">
        <x:v>43815</x:v>
      </x:c>
      <x:c r="B528" s="18" t="n">
        <x:v>1474.85</x:v>
      </x:c>
      <x:c r="C528" s="18" t="n">
        <x:v>1479.85</x:v>
      </x:c>
      <x:c r="D528" s="18" t="n">
        <x:v>1473.09</x:v>
      </x:c>
      <x:c r="E528" s="18" t="n">
        <x:v>1475.9</x:v>
      </x:c>
      <x:c r="F528" s="19" t="n">
        <x:v>55769</x:v>
      </x:c>
    </x:row>
    <x:row r="529">
      <x:c r="A529" s="17" t="n">
        <x:v>43816</x:v>
      </x:c>
      <x:c r="B529" s="18" t="n">
        <x:v>1475.89</x:v>
      </x:c>
      <x:c r="C529" s="18" t="n">
        <x:v>1480.49</x:v>
      </x:c>
      <x:c r="D529" s="18" t="n">
        <x:v>1474.12</x:v>
      </x:c>
      <x:c r="E529" s="18" t="n">
        <x:v>1475.99</x:v>
      </x:c>
      <x:c r="F529" s="19" t="n">
        <x:v>55358</x:v>
      </x:c>
    </x:row>
    <x:row r="530">
      <x:c r="A530" s="17" t="n">
        <x:v>43817</x:v>
      </x:c>
      <x:c r="B530" s="18" t="n">
        <x:v>1475.76</x:v>
      </x:c>
      <x:c r="C530" s="18" t="n">
        <x:v>1479.24</x:v>
      </x:c>
      <x:c r="D530" s="18" t="n">
        <x:v>1470.38</x:v>
      </x:c>
      <x:c r="E530" s="18" t="n">
        <x:v>1475.45</x:v>
      </x:c>
      <x:c r="F530" s="19" t="n">
        <x:v>51047</x:v>
      </x:c>
    </x:row>
    <x:row r="531">
      <x:c r="A531" s="17" t="n">
        <x:v>43818</x:v>
      </x:c>
      <x:c r="B531" s="18" t="n">
        <x:v>1475.3</x:v>
      </x:c>
      <x:c r="C531" s="18" t="n">
        <x:v>1481.64</x:v>
      </x:c>
      <x:c r="D531" s="18" t="n">
        <x:v>1473.19</x:v>
      </x:c>
      <x:c r="E531" s="18" t="n">
        <x:v>1478.7</x:v>
      </x:c>
      <x:c r="F531" s="19" t="n">
        <x:v>49593</x:v>
      </x:c>
    </x:row>
    <x:row r="532">
      <x:c r="A532" s="17" t="n">
        <x:v>43819</x:v>
      </x:c>
      <x:c r="B532" s="18" t="n">
        <x:v>1478.94</x:v>
      </x:c>
      <x:c r="C532" s="18" t="n">
        <x:v>1480.94</x:v>
      </x:c>
      <x:c r="D532" s="18" t="n">
        <x:v>1475.78</x:v>
      </x:c>
      <x:c r="E532" s="18" t="n">
        <x:v>1477.93</x:v>
      </x:c>
      <x:c r="F532" s="19" t="n">
        <x:v>44501</x:v>
      </x:c>
    </x:row>
    <x:row r="533">
      <x:c r="A533" s="17" t="n">
        <x:v>43822</x:v>
      </x:c>
      <x:c r="B533" s="18" t="n">
        <x:v>1477.96</x:v>
      </x:c>
      <x:c r="C533" s="18" t="n">
        <x:v>1486.09</x:v>
      </x:c>
      <x:c r="D533" s="18" t="n">
        <x:v>1477.46</x:v>
      </x:c>
      <x:c r="E533" s="18" t="n">
        <x:v>1485.38</x:v>
      </x:c>
      <x:c r="F533" s="19" t="n">
        <x:v>44323</x:v>
      </x:c>
    </x:row>
    <x:row r="534">
      <x:c r="A534" s="17" t="n">
        <x:v>43823</x:v>
      </x:c>
      <x:c r="B534" s="18" t="n">
        <x:v>1485.2</x:v>
      </x:c>
      <x:c r="C534" s="18" t="n">
        <x:v>1500.44</x:v>
      </x:c>
      <x:c r="D534" s="18" t="n">
        <x:v>1484.33</x:v>
      </x:c>
      <x:c r="E534" s="18" t="n">
        <x:v>1498.99</x:v>
      </x:c>
      <x:c r="F534" s="19" t="n">
        <x:v>39618</x:v>
      </x:c>
    </x:row>
    <x:row r="535">
      <x:c r="A535" s="17" t="n">
        <x:v>43825</x:v>
      </x:c>
      <x:c r="B535" s="18" t="n">
        <x:v>1503.27</x:v>
      </x:c>
      <x:c r="C535" s="18" t="n">
        <x:v>1512.56</x:v>
      </x:c>
      <x:c r="D535" s="18" t="n">
        <x:v>1502.27</x:v>
      </x:c>
      <x:c r="E535" s="18" t="n">
        <x:v>1511.04</x:v>
      </x:c>
      <x:c r="F535" s="19" t="n">
        <x:v>42592</x:v>
      </x:c>
    </x:row>
    <x:row r="536">
      <x:c r="A536" s="17" t="n">
        <x:v>43826</x:v>
      </x:c>
      <x:c r="B536" s="18" t="n">
        <x:v>1510.77</x:v>
      </x:c>
      <x:c r="C536" s="18" t="n">
        <x:v>1515.29</x:v>
      </x:c>
      <x:c r="D536" s="18" t="n">
        <x:v>1507.28</x:v>
      </x:c>
      <x:c r="E536" s="18" t="n">
        <x:v>1510.63</x:v>
      </x:c>
      <x:c r="F536" s="19" t="n">
        <x:v>54172</x:v>
      </x:c>
    </x:row>
    <x:row r="537">
      <x:c r="A537" s="17" t="n">
        <x:v>43829</x:v>
      </x:c>
      <x:c r="B537" s="18" t="n">
        <x:v>1511.16</x:v>
      </x:c>
      <x:c r="C537" s="18" t="n">
        <x:v>1516.07</x:v>
      </x:c>
      <x:c r="D537" s="18" t="n">
        <x:v>1510.7</x:v>
      </x:c>
      <x:c r="E537" s="18" t="n">
        <x:v>1514.96</x:v>
      </x:c>
      <x:c r="F537" s="19" t="n">
        <x:v>57637</x:v>
      </x:c>
    </x:row>
    <x:row r="538">
      <x:c r="A538" s="17" t="n">
        <x:v>43830</x:v>
      </x:c>
      <x:c r="B538" s="18" t="n">
        <x:v>1514.63</x:v>
      </x:c>
      <x:c r="C538" s="18" t="n">
        <x:v>1525.23</x:v>
      </x:c>
      <x:c r="D538" s="18" t="n">
        <x:v>1514.54</x:v>
      </x:c>
      <x:c r="E538" s="18" t="n">
        <x:v>1520.46</x:v>
      </x:c>
      <x:c r="F538" s="19" t="n">
        <x:v>51632</x:v>
      </x:c>
    </x:row>
    <x:row r="539">
      <x:c r="A539" s="17" t="n">
        <x:v>43832</x:v>
      </x:c>
      <x:c r="B539" s="18" t="n">
        <x:v>1520.26</x:v>
      </x:c>
      <x:c r="C539" s="18" t="n">
        <x:v>1531.32</x:v>
      </x:c>
      <x:c r="D539" s="18" t="n">
        <x:v>1518.38</x:v>
      </x:c>
      <x:c r="E539" s="18" t="n">
        <x:v>1528.77</x:v>
      </x:c>
      <x:c r="F539" s="19" t="n">
        <x:v>55524</x:v>
      </x:c>
    </x:row>
    <x:row r="540">
      <x:c r="A540" s="17" t="n">
        <x:v>43833</x:v>
      </x:c>
      <x:c r="B540" s="18" t="n">
        <x:v>1528.25</x:v>
      </x:c>
      <x:c r="C540" s="18" t="n">
        <x:v>1553.43</x:v>
      </x:c>
      <x:c r="D540" s="18" t="n">
        <x:v>1527.86</x:v>
      </x:c>
      <x:c r="E540" s="18" t="n">
        <x:v>1551.44</x:v>
      </x:c>
      <x:c r="F540" s="19" t="n">
        <x:v>95044</x:v>
      </x:c>
    </x:row>
    <x:row r="541">
      <x:c r="A541" s="17" t="n">
        <x:v>43836</x:v>
      </x:c>
      <x:c r="B541" s="18" t="n">
        <x:v>1575.89</x:v>
      </x:c>
      <x:c r="C541" s="18" t="n">
        <x:v>1582.09</x:v>
      </x:c>
      <x:c r="D541" s="18" t="n">
        <x:v>1560.7</x:v>
      </x:c>
      <x:c r="E541" s="18" t="n">
        <x:v>1565.63</x:v>
      </x:c>
      <x:c r="F541" s="19" t="n">
        <x:v>118721</x:v>
      </x:c>
    </x:row>
    <x:row r="542">
      <x:c r="A542" s="17" t="n">
        <x:v>43837</x:v>
      </x:c>
      <x:c r="B542" s="18" t="n">
        <x:v>1564.53</x:v>
      </x:c>
      <x:c r="C542" s="18" t="n">
        <x:v>1577.32</x:v>
      </x:c>
      <x:c r="D542" s="18" t="n">
        <x:v>1555.23</x:v>
      </x:c>
      <x:c r="E542" s="18" t="n">
        <x:v>1573.24</x:v>
      </x:c>
      <x:c r="F542" s="19" t="n">
        <x:v>96091</x:v>
      </x:c>
    </x:row>
    <x:row r="543">
      <x:c r="A543" s="17" t="n">
        <x:v>43838</x:v>
      </x:c>
      <x:c r="B543" s="18" t="n">
        <x:v>1575.99</x:v>
      </x:c>
      <x:c r="C543" s="18" t="n">
        <x:v>1611.35</x:v>
      </x:c>
      <x:c r="D543" s="18" t="n">
        <x:v>1552.22</x:v>
      </x:c>
      <x:c r="E543" s="18" t="n">
        <x:v>1556.36</x:v>
      </x:c>
      <x:c r="F543" s="19" t="n">
        <x:v>156878</x:v>
      </x:c>
    </x:row>
    <x:row r="544">
      <x:c r="A544" s="17" t="n">
        <x:v>43839</x:v>
      </x:c>
      <x:c r="B544" s="18" t="n">
        <x:v>1554.75</x:v>
      </x:c>
      <x:c r="C544" s="18" t="n">
        <x:v>1561.29</x:v>
      </x:c>
      <x:c r="D544" s="18" t="n">
        <x:v>1540.2</x:v>
      </x:c>
      <x:c r="E544" s="18" t="n">
        <x:v>1552.08</x:v>
      </x:c>
      <x:c r="F544" s="19" t="n">
        <x:v>87919</x:v>
      </x:c>
    </x:row>
    <x:row r="545">
      <x:c r="A545" s="17" t="n">
        <x:v>43840</x:v>
      </x:c>
      <x:c r="B545" s="18" t="n">
        <x:v>1552.91</x:v>
      </x:c>
      <x:c r="C545" s="18" t="n">
        <x:v>1563.13</x:v>
      </x:c>
      <x:c r="D545" s="18" t="n">
        <x:v>1545.73</x:v>
      </x:c>
      <x:c r="E545" s="18" t="n">
        <x:v>1561.76</x:v>
      </x:c>
      <x:c r="F545" s="19" t="n">
        <x:v>78711</x:v>
      </x:c>
    </x:row>
    <x:row r="546">
      <x:c r="A546" s="17" t="n">
        <x:v>43843</x:v>
      </x:c>
      <x:c r="B546" s="18" t="n">
        <x:v>1559.55</x:v>
      </x:c>
      <x:c r="C546" s="18" t="n">
        <x:v>1560.6</x:v>
      </x:c>
      <x:c r="D546" s="18" t="n">
        <x:v>1546.51</x:v>
      </x:c>
      <x:c r="E546" s="18" t="n">
        <x:v>1548.34</x:v>
      </x:c>
      <x:c r="F546" s="19" t="n">
        <x:v>72777</x:v>
      </x:c>
    </x:row>
    <x:row r="547">
      <x:c r="A547" s="17" t="n">
        <x:v>43844</x:v>
      </x:c>
      <x:c r="B547" s="18" t="n">
        <x:v>1548.13</x:v>
      </x:c>
      <x:c r="C547" s="18" t="n">
        <x:v>1548.85</x:v>
      </x:c>
      <x:c r="D547" s="18" t="n">
        <x:v>1535.96</x:v>
      </x:c>
      <x:c r="E547" s="18" t="n">
        <x:v>1546.25</x:v>
      </x:c>
      <x:c r="F547" s="19" t="n">
        <x:v>85110</x:v>
      </x:c>
    </x:row>
    <x:row r="548">
      <x:c r="A548" s="17" t="n">
        <x:v>43845</x:v>
      </x:c>
      <x:c r="B548" s="18" t="n">
        <x:v>1546.37</x:v>
      </x:c>
      <x:c r="C548" s="18" t="n">
        <x:v>1558.17</x:v>
      </x:c>
      <x:c r="D548" s="18" t="n">
        <x:v>1546.27</x:v>
      </x:c>
      <x:c r="E548" s="18" t="n">
        <x:v>1556.22</x:v>
      </x:c>
      <x:c r="F548" s="19" t="n">
        <x:v>73629</x:v>
      </x:c>
    </x:row>
    <x:row r="549">
      <x:c r="A549" s="17" t="n">
        <x:v>43846</x:v>
      </x:c>
      <x:c r="B549" s="18" t="n">
        <x:v>1555.18</x:v>
      </x:c>
      <x:c r="C549" s="18" t="n">
        <x:v>1558.06</x:v>
      </x:c>
      <x:c r="D549" s="18" t="n">
        <x:v>1547.98</x:v>
      </x:c>
      <x:c r="E549" s="18" t="n">
        <x:v>1552.46</x:v>
      </x:c>
      <x:c r="F549" s="19" t="n">
        <x:v>65408</x:v>
      </x:c>
    </x:row>
    <x:row r="550">
      <x:c r="A550" s="17" t="n">
        <x:v>43847</x:v>
      </x:c>
      <x:c r="B550" s="18" t="n">
        <x:v>1552.29</x:v>
      </x:c>
      <x:c r="C550" s="18" t="n">
        <x:v>1561.21</x:v>
      </x:c>
      <x:c r="D550" s="18" t="n">
        <x:v>1549.33</x:v>
      </x:c>
      <x:c r="E550" s="18" t="n">
        <x:v>1556.83</x:v>
      </x:c>
      <x:c r="F550" s="19" t="n">
        <x:v>64606</x:v>
      </x:c>
    </x:row>
    <x:row r="551">
      <x:c r="A551" s="17" t="n">
        <x:v>43850</x:v>
      </x:c>
      <x:c r="B551" s="18" t="n">
        <x:v>1559</x:v>
      </x:c>
      <x:c r="C551" s="18" t="n">
        <x:v>1562.76</x:v>
      </x:c>
      <x:c r="D551" s="18" t="n">
        <x:v>1556.35</x:v>
      </x:c>
      <x:c r="E551" s="18" t="n">
        <x:v>1560.5</x:v>
      </x:c>
      <x:c r="F551" s="19" t="n">
        <x:v>31344</x:v>
      </x:c>
    </x:row>
    <x:row r="552">
      <x:c r="A552" s="17" t="n">
        <x:v>43851</x:v>
      </x:c>
      <x:c r="B552" s="18" t="n">
        <x:v>1560.88</x:v>
      </x:c>
      <x:c r="C552" s="18" t="n">
        <x:v>1568.59</x:v>
      </x:c>
      <x:c r="D552" s="18" t="n">
        <x:v>1546.3</x:v>
      </x:c>
      <x:c r="E552" s="18" t="n">
        <x:v>1557.91</x:v>
      </x:c>
      <x:c r="F552" s="19" t="n">
        <x:v>84727</x:v>
      </x:c>
    </x:row>
    <x:row r="553">
      <x:c r="A553" s="17" t="n">
        <x:v>43852</x:v>
      </x:c>
      <x:c r="B553" s="18" t="n">
        <x:v>1558.01</x:v>
      </x:c>
      <x:c r="C553" s="18" t="n">
        <x:v>1559.22</x:v>
      </x:c>
      <x:c r="D553" s="18" t="n">
        <x:v>1550.15</x:v>
      </x:c>
      <x:c r="E553" s="18" t="n">
        <x:v>1558.6</x:v>
      </x:c>
      <x:c r="F553" s="19" t="n">
        <x:v>68635</x:v>
      </x:c>
    </x:row>
    <x:row r="554">
      <x:c r="A554" s="17" t="n">
        <x:v>43853</x:v>
      </x:c>
      <x:c r="B554" s="18" t="n">
        <x:v>1558.55</x:v>
      </x:c>
      <x:c r="C554" s="18" t="n">
        <x:v>1567.91</x:v>
      </x:c>
      <x:c r="D554" s="18" t="n">
        <x:v>1551.85</x:v>
      </x:c>
      <x:c r="E554" s="18" t="n">
        <x:v>1562.8</x:v>
      </x:c>
      <x:c r="F554" s="19" t="n">
        <x:v>80486</x:v>
      </x:c>
    </x:row>
    <x:row r="555">
      <x:c r="A555" s="17" t="n">
        <x:v>43854</x:v>
      </x:c>
      <x:c r="B555" s="18" t="n">
        <x:v>1561.79</x:v>
      </x:c>
      <x:c r="C555" s="18" t="n">
        <x:v>1575.95</x:v>
      </x:c>
      <x:c r="D555" s="18" t="n">
        <x:v>1556.49</x:v>
      </x:c>
      <x:c r="E555" s="18" t="n">
        <x:v>1570.9</x:v>
      </x:c>
      <x:c r="F555" s="19" t="n">
        <x:v>81710</x:v>
      </x:c>
    </x:row>
    <x:row r="556">
      <x:c r="A556" s="17" t="n">
        <x:v>43857</x:v>
      </x:c>
      <x:c r="B556" s="18" t="n">
        <x:v>1580.71</x:v>
      </x:c>
      <x:c r="C556" s="18" t="n">
        <x:v>1588.28</x:v>
      </x:c>
      <x:c r="D556" s="18" t="n">
        <x:v>1575.87</x:v>
      </x:c>
      <x:c r="E556" s="18" t="n">
        <x:v>1581.88</x:v>
      </x:c>
      <x:c r="F556" s="19" t="n">
        <x:v>105097</x:v>
      </x:c>
    </x:row>
    <x:row r="557">
      <x:c r="A557" s="17" t="n">
        <x:v>43858</x:v>
      </x:c>
      <x:c r="B557" s="18" t="n">
        <x:v>1580.91</x:v>
      </x:c>
      <x:c r="C557" s="18" t="n">
        <x:v>1583.03</x:v>
      </x:c>
      <x:c r="D557" s="18" t="n">
        <x:v>1565.44</x:v>
      </x:c>
      <x:c r="E557" s="18" t="n">
        <x:v>1567.78</x:v>
      </x:c>
      <x:c r="F557" s="19" t="n">
        <x:v>83057</x:v>
      </x:c>
    </x:row>
    <x:row r="558">
      <x:c r="A558" s="17" t="n">
        <x:v>43859</x:v>
      </x:c>
      <x:c r="B558" s="18" t="n">
        <x:v>1568.65</x:v>
      </x:c>
      <x:c r="C558" s="18" t="n">
        <x:v>1578</x:v>
      </x:c>
      <x:c r="D558" s="18" t="n">
        <x:v>1563.35</x:v>
      </x:c>
      <x:c r="E558" s="18" t="n">
        <x:v>1577.11</x:v>
      </x:c>
      <x:c r="F558" s="19" t="n">
        <x:v>72438</x:v>
      </x:c>
    </x:row>
    <x:row r="559">
      <x:c r="A559" s="17" t="n">
        <x:v>43860</x:v>
      </x:c>
      <x:c r="B559" s="18" t="n">
        <x:v>1575.25</x:v>
      </x:c>
      <x:c r="C559" s="18" t="n">
        <x:v>1585.99</x:v>
      </x:c>
      <x:c r="D559" s="18" t="n">
        <x:v>1572.22</x:v>
      </x:c>
      <x:c r="E559" s="18" t="n">
        <x:v>1573.85</x:v>
      </x:c>
      <x:c r="F559" s="19" t="n">
        <x:v>96702</x:v>
      </x:c>
    </x:row>
    <x:row r="560">
      <x:c r="A560" s="17" t="n">
        <x:v>43861</x:v>
      </x:c>
      <x:c r="B560" s="18" t="n">
        <x:v>1575.06</x:v>
      </x:c>
      <x:c r="C560" s="18" t="n">
        <x:v>1590.48</x:v>
      </x:c>
      <x:c r="D560" s="18" t="n">
        <x:v>1570.87</x:v>
      </x:c>
      <x:c r="E560" s="18" t="n">
        <x:v>1588.83</x:v>
      </x:c>
      <x:c r="F560" s="19" t="n">
        <x:v>97516</x:v>
      </x:c>
    </x:row>
    <x:row r="561">
      <x:c r="A561" s="17" t="n">
        <x:v>43864</x:v>
      </x:c>
      <x:c r="B561" s="18" t="n">
        <x:v>1588.65</x:v>
      </x:c>
      <x:c r="C561" s="18" t="n">
        <x:v>1592</x:v>
      </x:c>
      <x:c r="D561" s="18" t="n">
        <x:v>1569.28</x:v>
      </x:c>
      <x:c r="E561" s="18" t="n">
        <x:v>1576.3</x:v>
      </x:c>
      <x:c r="F561" s="19" t="n">
        <x:v>91040</x:v>
      </x:c>
    </x:row>
    <x:row r="562">
      <x:c r="A562" s="17" t="n">
        <x:v>43865</x:v>
      </x:c>
      <x:c r="B562" s="18" t="n">
        <x:v>1578.56</x:v>
      </x:c>
      <x:c r="C562" s="18" t="n">
        <x:v>1579.61</x:v>
      </x:c>
      <x:c r="D562" s="18" t="n">
        <x:v>1548.97</x:v>
      </x:c>
      <x:c r="E562" s="18" t="n">
        <x:v>1552.74</x:v>
      </x:c>
      <x:c r="F562" s="19" t="n">
        <x:v>81029</x:v>
      </x:c>
    </x:row>
    <x:row r="563">
      <x:c r="A563" s="17" t="n">
        <x:v>43866</x:v>
      </x:c>
      <x:c r="B563" s="18" t="n">
        <x:v>1553.18</x:v>
      </x:c>
      <x:c r="C563" s="18" t="n">
        <x:v>1562.41</x:v>
      </x:c>
      <x:c r="D563" s="18" t="n">
        <x:v>1547.38</x:v>
      </x:c>
      <x:c r="E563" s="18" t="n">
        <x:v>1556.41</x:v>
      </x:c>
      <x:c r="F563" s="19" t="n">
        <x:v>84219</x:v>
      </x:c>
    </x:row>
    <x:row r="564">
      <x:c r="A564" s="17" t="n">
        <x:v>43867</x:v>
      </x:c>
      <x:c r="B564" s="18" t="n">
        <x:v>1554.67</x:v>
      </x:c>
      <x:c r="C564" s="18" t="n">
        <x:v>1568.23</x:v>
      </x:c>
      <x:c r="D564" s="18" t="n">
        <x:v>1552.46</x:v>
      </x:c>
      <x:c r="E564" s="18" t="n">
        <x:v>1566.46</x:v>
      </x:c>
      <x:c r="F564" s="19" t="n">
        <x:v>71100</x:v>
      </x:c>
    </x:row>
    <x:row r="565">
      <x:c r="A565" s="17" t="n">
        <x:v>43868</x:v>
      </x:c>
      <x:c r="B565" s="18" t="n">
        <x:v>1565.81</x:v>
      </x:c>
      <x:c r="C565" s="18" t="n">
        <x:v>1574.05</x:v>
      </x:c>
      <x:c r="D565" s="18" t="n">
        <x:v>1560.08</x:v>
      </x:c>
      <x:c r="E565" s="18" t="n">
        <x:v>1570</x:v>
      </x:c>
      <x:c r="F565" s="19" t="n">
        <x:v>97707</x:v>
      </x:c>
    </x:row>
    <x:row r="566">
      <x:c r="A566" s="17" t="n">
        <x:v>43871</x:v>
      </x:c>
      <x:c r="B566" s="18" t="n">
        <x:v>1569.27</x:v>
      </x:c>
      <x:c r="C566" s="18" t="n">
        <x:v>1577.01</x:v>
      </x:c>
      <x:c r="D566" s="18" t="n">
        <x:v>1567.96</x:v>
      </x:c>
      <x:c r="E566" s="18" t="n">
        <x:v>1571.87</x:v>
      </x:c>
      <x:c r="F566" s="19" t="n">
        <x:v>72137</x:v>
      </x:c>
    </x:row>
    <x:row r="567">
      <x:c r="A567" s="17" t="n">
        <x:v>43872</x:v>
      </x:c>
      <x:c r="B567" s="18" t="n">
        <x:v>1572.09</x:v>
      </x:c>
      <x:c r="C567" s="18" t="n">
        <x:v>1574.05</x:v>
      </x:c>
      <x:c r="D567" s="18" t="n">
        <x:v>1561.92</x:v>
      </x:c>
      <x:c r="E567" s="18" t="n">
        <x:v>1567.63</x:v>
      </x:c>
      <x:c r="F567" s="19" t="n">
        <x:v>75255</x:v>
      </x:c>
    </x:row>
    <x:row r="568">
      <x:c r="A568" s="17" t="n">
        <x:v>43873</x:v>
      </x:c>
      <x:c r="B568" s="18" t="n">
        <x:v>1567.49</x:v>
      </x:c>
      <x:c r="C568" s="18" t="n">
        <x:v>1570.46</x:v>
      </x:c>
      <x:c r="D568" s="18" t="n">
        <x:v>1561.95</x:v>
      </x:c>
      <x:c r="E568" s="18" t="n">
        <x:v>1565.73</x:v>
      </x:c>
      <x:c r="F568" s="19" t="n">
        <x:v>65805</x:v>
      </x:c>
    </x:row>
    <x:row r="569">
      <x:c r="A569" s="17" t="n">
        <x:v>43874</x:v>
      </x:c>
      <x:c r="B569" s="18" t="n">
        <x:v>1566.13</x:v>
      </x:c>
      <x:c r="C569" s="18" t="n">
        <x:v>1578.33</x:v>
      </x:c>
      <x:c r="D569" s="18" t="n">
        <x:v>1565.51</x:v>
      </x:c>
      <x:c r="E569" s="18" t="n">
        <x:v>1575.98</x:v>
      </x:c>
      <x:c r="F569" s="19" t="n">
        <x:v>80200</x:v>
      </x:c>
    </x:row>
    <x:row r="570">
      <x:c r="A570" s="17" t="n">
        <x:v>43875</x:v>
      </x:c>
      <x:c r="B570" s="18" t="n">
        <x:v>1575.91</x:v>
      </x:c>
      <x:c r="C570" s="18" t="n">
        <x:v>1585.01</x:v>
      </x:c>
      <x:c r="D570" s="18" t="n">
        <x:v>1573.02</x:v>
      </x:c>
      <x:c r="E570" s="18" t="n">
        <x:v>1583.69</x:v>
      </x:c>
      <x:c r="F570" s="19" t="n">
        <x:v>60275</x:v>
      </x:c>
    </x:row>
    <x:row r="571">
      <x:c r="A571" s="17" t="n">
        <x:v>43878</x:v>
      </x:c>
      <x:c r="B571" s="18" t="n">
        <x:v>1581.25</x:v>
      </x:c>
      <x:c r="C571" s="18" t="n">
        <x:v>1583.78</x:v>
      </x:c>
      <x:c r="D571" s="18" t="n">
        <x:v>1578.85</x:v>
      </x:c>
      <x:c r="E571" s="18" t="n">
        <x:v>1580.86</x:v>
      </x:c>
      <x:c r="F571" s="19" t="n">
        <x:v>30617</x:v>
      </x:c>
    </x:row>
    <x:row r="572">
      <x:c r="A572" s="17" t="n">
        <x:v>43879</x:v>
      </x:c>
      <x:c r="B572" s="18" t="n">
        <x:v>1583.69</x:v>
      </x:c>
      <x:c r="C572" s="18" t="n">
        <x:v>1605.05</x:v>
      </x:c>
      <x:c r="D572" s="18" t="n">
        <x:v>1583.23</x:v>
      </x:c>
      <x:c r="E572" s="18" t="n">
        <x:v>1601.35</x:v>
      </x:c>
      <x:c r="F572" s="19" t="n">
        <x:v>78332</x:v>
      </x:c>
    </x:row>
    <x:row r="573">
      <x:c r="A573" s="17" t="n">
        <x:v>43880</x:v>
      </x:c>
      <x:c r="B573" s="18" t="n">
        <x:v>1601.17</x:v>
      </x:c>
      <x:c r="C573" s="18" t="n">
        <x:v>1612.91</x:v>
      </x:c>
      <x:c r="D573" s="18" t="n">
        <x:v>1599.53</x:v>
      </x:c>
      <x:c r="E573" s="18" t="n">
        <x:v>1611.34</x:v>
      </x:c>
      <x:c r="F573" s="19" t="n">
        <x:v>81876</x:v>
      </x:c>
    </x:row>
    <x:row r="574">
      <x:c r="A574" s="17" t="n">
        <x:v>43881</x:v>
      </x:c>
      <x:c r="B574" s="18" t="n">
        <x:v>1610.97</x:v>
      </x:c>
      <x:c r="C574" s="18" t="n">
        <x:v>1623.73</x:v>
      </x:c>
      <x:c r="D574" s="18" t="n">
        <x:v>1603.84</x:v>
      </x:c>
      <x:c r="E574" s="18" t="n">
        <x:v>1619.26</x:v>
      </x:c>
      <x:c r="F574" s="19" t="n">
        <x:v>105222</x:v>
      </x:c>
    </x:row>
    <x:row r="575">
      <x:c r="A575" s="17" t="n">
        <x:v>43882</x:v>
      </x:c>
      <x:c r="B575" s="18" t="n">
        <x:v>1619.7</x:v>
      </x:c>
      <x:c r="C575" s="18" t="n">
        <x:v>1649.23</x:v>
      </x:c>
      <x:c r="D575" s="18" t="n">
        <x:v>1618.92</x:v>
      </x:c>
      <x:c r="E575" s="18" t="n">
        <x:v>1643.73</x:v>
      </x:c>
      <x:c r="F575" s="19" t="n">
        <x:v>115265</x:v>
      </x:c>
    </x:row>
    <x:row r="576">
      <x:c r="A576" s="17" t="n">
        <x:v>43885</x:v>
      </x:c>
      <x:c r="B576" s="18" t="n">
        <x:v>1659.37</x:v>
      </x:c>
      <x:c r="C576" s="18" t="n">
        <x:v>1689.25</x:v>
      </x:c>
      <x:c r="D576" s="18" t="n">
        <x:v>1650.83</x:v>
      </x:c>
      <x:c r="E576" s="18" t="n">
        <x:v>1658.5</x:v>
      </x:c>
      <x:c r="F576" s="19" t="n">
        <x:v>156168</x:v>
      </x:c>
    </x:row>
    <x:row r="577">
      <x:c r="A577" s="17" t="n">
        <x:v>43886</x:v>
      </x:c>
      <x:c r="B577" s="18" t="n">
        <x:v>1657.47</x:v>
      </x:c>
      <x:c r="C577" s="18" t="n">
        <x:v>1658.77</x:v>
      </x:c>
      <x:c r="D577" s="18" t="n">
        <x:v>1624.98</x:v>
      </x:c>
      <x:c r="E577" s="18" t="n">
        <x:v>1635.26</x:v>
      </x:c>
      <x:c r="F577" s="19" t="n">
        <x:v>176551</x:v>
      </x:c>
    </x:row>
    <x:row r="578">
      <x:c r="A578" s="17" t="n">
        <x:v>43887</x:v>
      </x:c>
      <x:c r="B578" s="18" t="n">
        <x:v>1638.13</x:v>
      </x:c>
      <x:c r="C578" s="18" t="n">
        <x:v>1654.95</x:v>
      </x:c>
      <x:c r="D578" s="18" t="n">
        <x:v>1624.73</x:v>
      </x:c>
      <x:c r="E578" s="18" t="n">
        <x:v>1640.5</x:v>
      </x:c>
      <x:c r="F578" s="19" t="n">
        <x:v>161690</x:v>
      </x:c>
    </x:row>
    <x:row r="579">
      <x:c r="A579" s="17" t="n">
        <x:v>43888</x:v>
      </x:c>
      <x:c r="B579" s="18" t="n">
        <x:v>1641.12</x:v>
      </x:c>
      <x:c r="C579" s="18" t="n">
        <x:v>1660.37</x:v>
      </x:c>
      <x:c r="D579" s="18" t="n">
        <x:v>1635.19</x:v>
      </x:c>
      <x:c r="E579" s="18" t="n">
        <x:v>1644.23</x:v>
      </x:c>
      <x:c r="F579" s="19" t="n">
        <x:v>163430</x:v>
      </x:c>
    </x:row>
    <x:row r="580">
      <x:c r="A580" s="17" t="n">
        <x:v>43889</x:v>
      </x:c>
      <x:c r="B580" s="18" t="n">
        <x:v>1641.91</x:v>
      </x:c>
      <x:c r="C580" s="18" t="n">
        <x:v>1649.46</x:v>
      </x:c>
      <x:c r="D580" s="18" t="n">
        <x:v>1562.93</x:v>
      </x:c>
      <x:c r="E580" s="18" t="n">
        <x:v>1584.7</x:v>
      </x:c>
      <x:c r="F580" s="19" t="n">
        <x:v>186323</x:v>
      </x:c>
    </x:row>
    <x:row r="581">
      <x:c r="A581" s="17" t="n">
        <x:v>43892</x:v>
      </x:c>
      <x:c r="B581" s="18" t="n">
        <x:v>1581.79</x:v>
      </x:c>
      <x:c r="C581" s="18" t="n">
        <x:v>1610.94</x:v>
      </x:c>
      <x:c r="D581" s="18" t="n">
        <x:v>1575.31</x:v>
      </x:c>
      <x:c r="E581" s="18" t="n">
        <x:v>1589.75</x:v>
      </x:c>
      <x:c r="F581" s="19" t="n">
        <x:v>171570</x:v>
      </x:c>
    </x:row>
    <x:row r="582">
      <x:c r="A582" s="17" t="n">
        <x:v>43893</x:v>
      </x:c>
      <x:c r="B582" s="18" t="n">
        <x:v>1590.45</x:v>
      </x:c>
      <x:c r="C582" s="18" t="n">
        <x:v>1649.29</x:v>
      </x:c>
      <x:c r="D582" s="18" t="n">
        <x:v>1589.58</x:v>
      </x:c>
      <x:c r="E582" s="18" t="n">
        <x:v>1639.48</x:v>
      </x:c>
      <x:c r="F582" s="19" t="n">
        <x:v>146391</x:v>
      </x:c>
    </x:row>
    <x:row r="583">
      <x:c r="A583" s="17" t="n">
        <x:v>43894</x:v>
      </x:c>
      <x:c r="B583" s="18" t="n">
        <x:v>1642.09</x:v>
      </x:c>
      <x:c r="C583" s="18" t="n">
        <x:v>1653.13</x:v>
      </x:c>
      <x:c r="D583" s="18" t="n">
        <x:v>1631.81</x:v>
      </x:c>
      <x:c r="E583" s="18" t="n">
        <x:v>1635.73</x:v>
      </x:c>
      <x:c r="F583" s="19" t="n">
        <x:v>124231</x:v>
      </x:c>
    </x:row>
    <x:row r="584">
      <x:c r="A584" s="17" t="n">
        <x:v>43895</x:v>
      </x:c>
      <x:c r="B584" s="18" t="n">
        <x:v>1636.57</x:v>
      </x:c>
      <x:c r="C584" s="18" t="n">
        <x:v>1674.57</x:v>
      </x:c>
      <x:c r="D584" s="18" t="n">
        <x:v>1634.97</x:v>
      </x:c>
      <x:c r="E584" s="18" t="n">
        <x:v>1671.58</x:v>
      </x:c>
      <x:c r="F584" s="19" t="n">
        <x:v>121017</x:v>
      </x:c>
    </x:row>
    <x:row r="585">
      <x:c r="A585" s="17" t="n">
        <x:v>43896</x:v>
      </x:c>
      <x:c r="B585" s="18" t="n">
        <x:v>1671.61</x:v>
      </x:c>
      <x:c r="C585" s="18" t="n">
        <x:v>1692.09</x:v>
      </x:c>
      <x:c r="D585" s="18" t="n">
        <x:v>1641.97</x:v>
      </x:c>
      <x:c r="E585" s="18" t="n">
        <x:v>1674.06</x:v>
      </x:c>
      <x:c r="F585" s="19" t="n">
        <x:v>164891</x:v>
      </x:c>
    </x:row>
    <x:row r="586">
      <x:c r="A586" s="17" t="n">
        <x:v>43899</x:v>
      </x:c>
      <x:c r="B586" s="18" t="n">
        <x:v>1695.92</x:v>
      </x:c>
      <x:c r="C586" s="18" t="n">
        <x:v>1703.44</x:v>
      </x:c>
      <x:c r="D586" s="18" t="n">
        <x:v>1657.41</x:v>
      </x:c>
      <x:c r="E586" s="18" t="n">
        <x:v>1678.15</x:v>
      </x:c>
      <x:c r="F586" s="19" t="n">
        <x:v>151869</x:v>
      </x:c>
    </x:row>
    <x:row r="587">
      <x:c r="A587" s="17" t="n">
        <x:v>43900</x:v>
      </x:c>
      <x:c r="B587" s="18" t="n">
        <x:v>1667.73</x:v>
      </x:c>
      <x:c r="C587" s="18" t="n">
        <x:v>1671.42</x:v>
      </x:c>
      <x:c r="D587" s="18" t="n">
        <x:v>1641.49</x:v>
      </x:c>
      <x:c r="E587" s="18" t="n">
        <x:v>1649.37</x:v>
      </x:c>
      <x:c r="F587" s="19" t="n">
        <x:v>143340</x:v>
      </x:c>
    </x:row>
    <x:row r="588">
      <x:c r="A588" s="17" t="n">
        <x:v>43901</x:v>
      </x:c>
      <x:c r="B588" s="18" t="n">
        <x:v>1651.93</x:v>
      </x:c>
      <x:c r="C588" s="18" t="n">
        <x:v>1671.24</x:v>
      </x:c>
      <x:c r="D588" s="18" t="n">
        <x:v>1632.94</x:v>
      </x:c>
      <x:c r="E588" s="18" t="n">
        <x:v>1636.63</x:v>
      </x:c>
      <x:c r="F588" s="19" t="n">
        <x:v>128334</x:v>
      </x:c>
    </x:row>
    <x:row r="589">
      <x:c r="A589" s="17" t="n">
        <x:v>43902</x:v>
      </x:c>
      <x:c r="B589" s="18" t="n">
        <x:v>1640.1</x:v>
      </x:c>
      <x:c r="C589" s="18" t="n">
        <x:v>1650.07</x:v>
      </x:c>
      <x:c r="D589" s="18" t="n">
        <x:v>1560.59</x:v>
      </x:c>
      <x:c r="E589" s="18" t="n">
        <x:v>1578.63</x:v>
      </x:c>
      <x:c r="F589" s="19" t="n">
        <x:v>158775</x:v>
      </x:c>
    </x:row>
    <x:row r="590">
      <x:c r="A590" s="17" t="n">
        <x:v>43903</x:v>
      </x:c>
      <x:c r="B590" s="18" t="n">
        <x:v>1576.3</x:v>
      </x:c>
      <x:c r="C590" s="18" t="n">
        <x:v>1597.91</x:v>
      </x:c>
      <x:c r="D590" s="18" t="n">
        <x:v>1504.62</x:v>
      </x:c>
      <x:c r="E590" s="18" t="n">
        <x:v>1529.78</x:v>
      </x:c>
      <x:c r="F590" s="19" t="n">
        <x:v>192149</x:v>
      </x:c>
    </x:row>
    <x:row r="591">
      <x:c r="A591" s="17" t="n">
        <x:v>43906</x:v>
      </x:c>
      <x:c r="B591" s="18" t="n">
        <x:v>1543.04</x:v>
      </x:c>
      <x:c r="C591" s="18" t="n">
        <x:v>1562.94</x:v>
      </x:c>
      <x:c r="D591" s="18" t="n">
        <x:v>1451.13</x:v>
      </x:c>
      <x:c r="E591" s="18" t="n">
        <x:v>1509.09</x:v>
      </x:c>
      <x:c r="F591" s="19" t="n">
        <x:v>219115</x:v>
      </x:c>
    </x:row>
    <x:row r="592">
      <x:c r="A592" s="17" t="n">
        <x:v>43907</x:v>
      </x:c>
      <x:c r="B592" s="18" t="n">
        <x:v>1511.75</x:v>
      </x:c>
      <x:c r="C592" s="18" t="n">
        <x:v>1553.85</x:v>
      </x:c>
      <x:c r="D592" s="18" t="n">
        <x:v>1465.42</x:v>
      </x:c>
      <x:c r="E592" s="18" t="n">
        <x:v>1527.8</x:v>
      </x:c>
      <x:c r="F592" s="19" t="n">
        <x:v>208552</x:v>
      </x:c>
    </x:row>
    <x:row r="593">
      <x:c r="A593" s="17" t="n">
        <x:v>43908</x:v>
      </x:c>
      <x:c r="B593" s="18" t="n">
        <x:v>1537.29</x:v>
      </x:c>
      <x:c r="C593" s="18" t="n">
        <x:v>1543.29</x:v>
      </x:c>
      <x:c r="D593" s="18" t="n">
        <x:v>1472.61</x:v>
      </x:c>
      <x:c r="E593" s="18" t="n">
        <x:v>1484.63</x:v>
      </x:c>
      <x:c r="F593" s="19" t="n">
        <x:v>192152</x:v>
      </x:c>
    </x:row>
    <x:row r="594">
      <x:c r="A594" s="17" t="n">
        <x:v>43909</x:v>
      </x:c>
      <x:c r="B594" s="18" t="n">
        <x:v>1485.3</x:v>
      </x:c>
      <x:c r="C594" s="18" t="n">
        <x:v>1500.77</x:v>
      </x:c>
      <x:c r="D594" s="18" t="n">
        <x:v>1461.89</x:v>
      </x:c>
      <x:c r="E594" s="18" t="n">
        <x:v>1474.34</x:v>
      </x:c>
      <x:c r="F594" s="19" t="n">
        <x:v>137143</x:v>
      </x:c>
    </x:row>
    <x:row r="595">
      <x:c r="A595" s="17" t="n">
        <x:v>43910</x:v>
      </x:c>
      <x:c r="B595" s="18" t="n">
        <x:v>1467.47</x:v>
      </x:c>
      <x:c r="C595" s="18" t="n">
        <x:v>1515.93</x:v>
      </x:c>
      <x:c r="D595" s="18" t="n">
        <x:v>1465.83</x:v>
      </x:c>
      <x:c r="E595" s="18" t="n">
        <x:v>1498.64</x:v>
      </x:c>
      <x:c r="F595" s="19" t="n">
        <x:v>104650</x:v>
      </x:c>
    </x:row>
    <x:row r="596">
      <x:c r="A596" s="17" t="n">
        <x:v>43913</x:v>
      </x:c>
      <x:c r="B596" s="18" t="n">
        <x:v>1490.2</x:v>
      </x:c>
      <x:c r="C596" s="18" t="n">
        <x:v>1561.08</x:v>
      </x:c>
      <x:c r="D596" s="18" t="n">
        <x:v>1485</x:v>
      </x:c>
      <x:c r="E596" s="18" t="n">
        <x:v>1552.39</x:v>
      </x:c>
      <x:c r="F596" s="19" t="n">
        <x:v>110268</x:v>
      </x:c>
    </x:row>
    <x:row r="597">
      <x:c r="A597" s="17" t="n">
        <x:v>43914</x:v>
      </x:c>
      <x:c r="B597" s="18" t="n">
        <x:v>1563.45</x:v>
      </x:c>
      <x:c r="C597" s="18" t="n">
        <x:v>1632.3</x:v>
      </x:c>
      <x:c r="D597" s="18" t="n">
        <x:v>1557.62</x:v>
      </x:c>
      <x:c r="E597" s="18" t="n">
        <x:v>1625.33</x:v>
      </x:c>
      <x:c r="F597" s="19" t="n">
        <x:v>74427</x:v>
      </x:c>
    </x:row>
    <x:row r="598">
      <x:c r="A598" s="17" t="n">
        <x:v>43915</x:v>
      </x:c>
      <x:c r="B598" s="18" t="n">
        <x:v>1630.56</x:v>
      </x:c>
      <x:c r="C598" s="18" t="n">
        <x:v>1638.85</x:v>
      </x:c>
      <x:c r="D598" s="18" t="n">
        <x:v>1594.95</x:v>
      </x:c>
      <x:c r="E598" s="18" t="n">
        <x:v>1616.35</x:v>
      </x:c>
      <x:c r="F598" s="19" t="n">
        <x:v>63879</x:v>
      </x:c>
    </x:row>
    <x:row r="599">
      <x:c r="A599" s="17" t="n">
        <x:v>43916</x:v>
      </x:c>
      <x:c r="B599" s="18" t="n">
        <x:v>1612.4</x:v>
      </x:c>
      <x:c r="C599" s="18" t="n">
        <x:v>1644.37</x:v>
      </x:c>
      <x:c r="D599" s="18" t="n">
        <x:v>1595.26</x:v>
      </x:c>
      <x:c r="E599" s="18" t="n">
        <x:v>1628.93</x:v>
      </x:c>
      <x:c r="F599" s="19" t="n">
        <x:v>52710</x:v>
      </x:c>
    </x:row>
    <x:row r="600">
      <x:c r="A600" s="17" t="n">
        <x:v>43917</x:v>
      </x:c>
      <x:c r="B600" s="18" t="n">
        <x:v>1630.2</x:v>
      </x:c>
      <x:c r="C600" s="18" t="n">
        <x:v>1631.06</x:v>
      </x:c>
      <x:c r="D600" s="18" t="n">
        <x:v>1613.83</x:v>
      </x:c>
      <x:c r="E600" s="18" t="n">
        <x:v>1622.55</x:v>
      </x:c>
      <x:c r="F600" s="19" t="n">
        <x:v>58020</x:v>
      </x:c>
    </x:row>
    <x:row r="601">
      <x:c r="A601" s="17" t="n">
        <x:v>43920</x:v>
      </x:c>
      <x:c r="B601" s="18" t="n">
        <x:v>1619.97</x:v>
      </x:c>
      <x:c r="C601" s="18" t="n">
        <x:v>1632.25</x:v>
      </x:c>
      <x:c r="D601" s="18" t="n">
        <x:v>1610.39</x:v>
      </x:c>
      <x:c r="E601" s="18" t="n">
        <x:v>1620.31</x:v>
      </x:c>
      <x:c r="F601" s="19" t="n">
        <x:v>65237</x:v>
      </x:c>
    </x:row>
    <x:row r="602">
      <x:c r="A602" s="17" t="n">
        <x:v>43921</x:v>
      </x:c>
      <x:c r="B602" s="18" t="n">
        <x:v>1621.75</x:v>
      </x:c>
      <x:c r="C602" s="18" t="n">
        <x:v>1622.22</x:v>
      </x:c>
      <x:c r="D602" s="18" t="n">
        <x:v>1574.19</x:v>
      </x:c>
      <x:c r="E602" s="18" t="n">
        <x:v>1576.78</x:v>
      </x:c>
      <x:c r="F602" s="19" t="n">
        <x:v>83749</x:v>
      </x:c>
    </x:row>
    <x:row r="603">
      <x:c r="A603" s="17" t="n">
        <x:v>43922</x:v>
      </x:c>
      <x:c r="B603" s="18" t="n">
        <x:v>1571.41</x:v>
      </x:c>
      <x:c r="C603" s="18" t="n">
        <x:v>1599.96</x:v>
      </x:c>
      <x:c r="D603" s="18" t="n">
        <x:v>1569.33</x:v>
      </x:c>
      <x:c r="E603" s="18" t="n">
        <x:v>1591.26</x:v>
      </x:c>
      <x:c r="F603" s="19" t="n">
        <x:v>72363</x:v>
      </x:c>
    </x:row>
    <x:row r="604">
      <x:c r="A604" s="17" t="n">
        <x:v>43923</x:v>
      </x:c>
      <x:c r="B604" s="18" t="n">
        <x:v>1590.36</x:v>
      </x:c>
      <x:c r="C604" s="18" t="n">
        <x:v>1620.17</x:v>
      </x:c>
      <x:c r="D604" s="18" t="n">
        <x:v>1582.65</x:v>
      </x:c>
      <x:c r="E604" s="18" t="n">
        <x:v>1611.66</x:v>
      </x:c>
      <x:c r="F604" s="19" t="n">
        <x:v>100031</x:v>
      </x:c>
    </x:row>
    <x:row r="605">
      <x:c r="A605" s="17" t="n">
        <x:v>43924</x:v>
      </x:c>
      <x:c r="B605" s="18" t="n">
        <x:v>1614.39</x:v>
      </x:c>
      <x:c r="C605" s="18" t="n">
        <x:v>1626.04</x:v>
      </x:c>
      <x:c r="D605" s="18" t="n">
        <x:v>1605.85</x:v>
      </x:c>
      <x:c r="E605" s="18" t="n">
        <x:v>1615.7</x:v>
      </x:c>
      <x:c r="F605" s="19" t="n">
        <x:v>68469</x:v>
      </x:c>
    </x:row>
    <x:row r="606">
      <x:c r="A606" s="17" t="n">
        <x:v>43927</x:v>
      </x:c>
      <x:c r="B606" s="18" t="n">
        <x:v>1614.62</x:v>
      </x:c>
      <x:c r="C606" s="18" t="n">
        <x:v>1669.88</x:v>
      </x:c>
      <x:c r="D606" s="18" t="n">
        <x:v>1608.35</x:v>
      </x:c>
      <x:c r="E606" s="18" t="n">
        <x:v>1658.19</x:v>
      </x:c>
      <x:c r="F606" s="19" t="n">
        <x:v>94932</x:v>
      </x:c>
    </x:row>
    <x:row r="607">
      <x:c r="A607" s="17" t="n">
        <x:v>43928</x:v>
      </x:c>
      <x:c r="B607" s="18" t="n">
        <x:v>1664.81</x:v>
      </x:c>
      <x:c r="C607" s="18" t="n">
        <x:v>1674.02</x:v>
      </x:c>
      <x:c r="D607" s="18" t="n">
        <x:v>1642.16</x:v>
      </x:c>
      <x:c r="E607" s="18" t="n">
        <x:v>1647.94</x:v>
      </x:c>
      <x:c r="F607" s="19" t="n">
        <x:v>113280</x:v>
      </x:c>
    </x:row>
    <x:row r="608">
      <x:c r="A608" s="17" t="n">
        <x:v>43929</x:v>
      </x:c>
      <x:c r="B608" s="18" t="n">
        <x:v>1647.27</x:v>
      </x:c>
      <x:c r="C608" s="18" t="n">
        <x:v>1656.87</x:v>
      </x:c>
      <x:c r="D608" s="18" t="n">
        <x:v>1641.58</x:v>
      </x:c>
      <x:c r="E608" s="18" t="n">
        <x:v>1645.4</x:v>
      </x:c>
      <x:c r="F608" s="19" t="n">
        <x:v>70588</x:v>
      </x:c>
    </x:row>
    <x:row r="609">
      <x:c r="A609" s="17" t="n">
        <x:v>43930</x:v>
      </x:c>
      <x:c r="B609" s="18" t="n">
        <x:v>1645.41</x:v>
      </x:c>
      <x:c r="C609" s="18" t="n">
        <x:v>1690.43</x:v>
      </x:c>
      <x:c r="D609" s="18" t="n">
        <x:v>1643.86</x:v>
      </x:c>
      <x:c r="E609" s="18" t="n">
        <x:v>1683.56</x:v>
      </x:c>
      <x:c r="F609" s="19" t="n">
        <x:v>100976</x:v>
      </x:c>
    </x:row>
    <x:row r="610">
      <x:c r="A610" s="17" t="n">
        <x:v>43934</x:v>
      </x:c>
      <x:c r="B610" s="18" t="n">
        <x:v>1677.47</x:v>
      </x:c>
      <x:c r="C610" s="18" t="n">
        <x:v>1723.27</x:v>
      </x:c>
      <x:c r="D610" s="18" t="n">
        <x:v>1674.98</x:v>
      </x:c>
      <x:c r="E610" s="18" t="n">
        <x:v>1711.98</x:v>
      </x:c>
      <x:c r="F610" s="19" t="n">
        <x:v>79657</x:v>
      </x:c>
    </x:row>
    <x:row r="611">
      <x:c r="A611" s="17" t="n">
        <x:v>43935</x:v>
      </x:c>
      <x:c r="B611" s="18" t="n">
        <x:v>1712.25</x:v>
      </x:c>
      <x:c r="C611" s="18" t="n">
        <x:v>1747.4</x:v>
      </x:c>
      <x:c r="D611" s="18" t="n">
        <x:v>1708.56</x:v>
      </x:c>
      <x:c r="E611" s="18" t="n">
        <x:v>1726.54</x:v>
      </x:c>
      <x:c r="F611" s="19" t="n">
        <x:v>121755</x:v>
      </x:c>
    </x:row>
    <x:row r="612">
      <x:c r="A612" s="17" t="n">
        <x:v>43936</x:v>
      </x:c>
      <x:c r="B612" s="18" t="n">
        <x:v>1726.54</x:v>
      </x:c>
      <x:c r="C612" s="18" t="n">
        <x:v>1731.11</x:v>
      </x:c>
      <x:c r="D612" s="18" t="n">
        <x:v>1707.52</x:v>
      </x:c>
      <x:c r="E612" s="18" t="n">
        <x:v>1716.5</x:v>
      </x:c>
      <x:c r="F612" s="19" t="n">
        <x:v>101927</x:v>
      </x:c>
    </x:row>
    <x:row r="613">
      <x:c r="A613" s="17" t="n">
        <x:v>43937</x:v>
      </x:c>
      <x:c r="B613" s="18" t="n">
        <x:v>1716.49</x:v>
      </x:c>
      <x:c r="C613" s="18" t="n">
        <x:v>1738.66</x:v>
      </x:c>
      <x:c r="D613" s="18" t="n">
        <x:v>1708.01</x:v>
      </x:c>
      <x:c r="E613" s="18" t="n">
        <x:v>1718.38</x:v>
      </x:c>
      <x:c r="F613" s="19" t="n">
        <x:v>120139</x:v>
      </x:c>
    </x:row>
    <x:row r="614">
      <x:c r="A614" s="17" t="n">
        <x:v>43938</x:v>
      </x:c>
      <x:c r="B614" s="18" t="n">
        <x:v>1718.48</x:v>
      </x:c>
      <x:c r="C614" s="18" t="n">
        <x:v>1718.52</x:v>
      </x:c>
      <x:c r="D614" s="18" t="n">
        <x:v>1680.1</x:v>
      </x:c>
      <x:c r="E614" s="18" t="n">
        <x:v>1682.14</x:v>
      </x:c>
      <x:c r="F614" s="19" t="n">
        <x:v>126136</x:v>
      </x:c>
    </x:row>
    <x:row r="615">
      <x:c r="A615" s="17" t="n">
        <x:v>43941</x:v>
      </x:c>
      <x:c r="B615" s="18" t="n">
        <x:v>1683.02</x:v>
      </x:c>
      <x:c r="C615" s="18" t="n">
        <x:v>1702.7</x:v>
      </x:c>
      <x:c r="D615" s="18" t="n">
        <x:v>1671.55</x:v>
      </x:c>
      <x:c r="E615" s="18" t="n">
        <x:v>1695.28</x:v>
      </x:c>
      <x:c r="F615" s="19" t="n">
        <x:v>149666</x:v>
      </x:c>
    </x:row>
    <x:row r="616">
      <x:c r="A616" s="17" t="n">
        <x:v>43942</x:v>
      </x:c>
      <x:c r="B616" s="18" t="n">
        <x:v>1695.4</x:v>
      </x:c>
      <x:c r="C616" s="18" t="n">
        <x:v>1697.86</x:v>
      </x:c>
      <x:c r="D616" s="18" t="n">
        <x:v>1660.03</x:v>
      </x:c>
      <x:c r="E616" s="18" t="n">
        <x:v>1683.54</x:v>
      </x:c>
      <x:c r="F616" s="19" t="n">
        <x:v>159877</x:v>
      </x:c>
    </x:row>
    <x:row r="617">
      <x:c r="A617" s="17" t="n">
        <x:v>43943</x:v>
      </x:c>
      <x:c r="B617" s="18" t="n">
        <x:v>1683.79</x:v>
      </x:c>
      <x:c r="C617" s="18" t="n">
        <x:v>1718.74</x:v>
      </x:c>
      <x:c r="D617" s="18" t="n">
        <x:v>1680.29</x:v>
      </x:c>
      <x:c r="E617" s="18" t="n">
        <x:v>1714.87</x:v>
      </x:c>
      <x:c r="F617" s="19" t="n">
        <x:v>96972</x:v>
      </x:c>
    </x:row>
    <x:row r="618">
      <x:c r="A618" s="17" t="n">
        <x:v>43944</x:v>
      </x:c>
      <x:c r="B618" s="18" t="n">
        <x:v>1714.66</x:v>
      </x:c>
      <x:c r="C618" s="18" t="n">
        <x:v>1738.78</x:v>
      </x:c>
      <x:c r="D618" s="18" t="n">
        <x:v>1707</x:v>
      </x:c>
      <x:c r="E618" s="18" t="n">
        <x:v>1730.31</x:v>
      </x:c>
      <x:c r="F618" s="19" t="n">
        <x:v>135452</x:v>
      </x:c>
    </x:row>
    <x:row r="619">
      <x:c r="A619" s="17" t="n">
        <x:v>43945</x:v>
      </x:c>
      <x:c r="B619" s="18" t="n">
        <x:v>1730.56</x:v>
      </x:c>
      <x:c r="C619" s="18" t="n">
        <x:v>1736.35</x:v>
      </x:c>
      <x:c r="D619" s="18" t="n">
        <x:v>1710.36</x:v>
      </x:c>
      <x:c r="E619" s="18" t="n">
        <x:v>1726.41</x:v>
      </x:c>
      <x:c r="F619" s="19" t="n">
        <x:v>124540</x:v>
      </x:c>
    </x:row>
    <x:row r="620">
      <x:c r="A620" s="17" t="n">
        <x:v>43948</x:v>
      </x:c>
      <x:c r="B620" s="18" t="n">
        <x:v>1722.32</x:v>
      </x:c>
      <x:c r="C620" s="18" t="n">
        <x:v>1727.59</x:v>
      </x:c>
      <x:c r="D620" s="18" t="n">
        <x:v>1705.87</x:v>
      </x:c>
      <x:c r="E620" s="18" t="n">
        <x:v>1714.94</x:v>
      </x:c>
      <x:c r="F620" s="19" t="n">
        <x:v>122739</x:v>
      </x:c>
    </x:row>
    <x:row r="621">
      <x:c r="A621" s="17" t="n">
        <x:v>43949</x:v>
      </x:c>
      <x:c r="B621" s="18" t="n">
        <x:v>1714.9</x:v>
      </x:c>
      <x:c r="C621" s="18" t="n">
        <x:v>1716.16</x:v>
      </x:c>
      <x:c r="D621" s="18" t="n">
        <x:v>1691.54</x:v>
      </x:c>
      <x:c r="E621" s="18" t="n">
        <x:v>1707.65</x:v>
      </x:c>
      <x:c r="F621" s="19" t="n">
        <x:v>120584</x:v>
      </x:c>
    </x:row>
    <x:row r="622">
      <x:c r="A622" s="17" t="n">
        <x:v>43950</x:v>
      </x:c>
      <x:c r="B622" s="18" t="n">
        <x:v>1708.02</x:v>
      </x:c>
      <x:c r="C622" s="18" t="n">
        <x:v>1717.67</x:v>
      </x:c>
      <x:c r="D622" s="18" t="n">
        <x:v>1697.76</x:v>
      </x:c>
      <x:c r="E622" s="18" t="n">
        <x:v>1712.89</x:v>
      </x:c>
      <x:c r="F622" s="19" t="n">
        <x:v>123365</x:v>
      </x:c>
    </x:row>
    <x:row r="623">
      <x:c r="A623" s="17" t="n">
        <x:v>43951</x:v>
      </x:c>
      <x:c r="B623" s="18" t="n">
        <x:v>1712.95</x:v>
      </x:c>
      <x:c r="C623" s="18" t="n">
        <x:v>1721.72</x:v>
      </x:c>
      <x:c r="D623" s="18" t="n">
        <x:v>1681.24</x:v>
      </x:c>
      <x:c r="E623" s="18" t="n">
        <x:v>1685.98</x:v>
      </x:c>
      <x:c r="F623" s="19" t="n">
        <x:v>131530</x:v>
      </x:c>
    </x:row>
    <x:row r="624">
      <x:c r="A624" s="17" t="n">
        <x:v>43952</x:v>
      </x:c>
      <x:c r="B624" s="18" t="n">
        <x:v>1686.02</x:v>
      </x:c>
      <x:c r="C624" s="18" t="n">
        <x:v>1705.47</x:v>
      </x:c>
      <x:c r="D624" s="18" t="n">
        <x:v>1670.4</x:v>
      </x:c>
      <x:c r="E624" s="18" t="n">
        <x:v>1699.6</x:v>
      </x:c>
      <x:c r="F624" s="19" t="n">
        <x:v>146791</x:v>
      </x:c>
    </x:row>
    <x:row r="625">
      <x:c r="A625" s="17" t="n">
        <x:v>43955</x:v>
      </x:c>
      <x:c r="B625" s="18" t="n">
        <x:v>1698.03</x:v>
      </x:c>
      <x:c r="C625" s="18" t="n">
        <x:v>1713.44</x:v>
      </x:c>
      <x:c r="D625" s="18" t="n">
        <x:v>1691.64</x:v>
      </x:c>
      <x:c r="E625" s="18" t="n">
        <x:v>1701</x:v>
      </x:c>
      <x:c r="F625" s="19" t="n">
        <x:v>90399</x:v>
      </x:c>
    </x:row>
    <x:row r="626">
      <x:c r="A626" s="17" t="n">
        <x:v>43956</x:v>
      </x:c>
      <x:c r="B626" s="18" t="n">
        <x:v>1701.13</x:v>
      </x:c>
      <x:c r="C626" s="18" t="n">
        <x:v>1712.04</x:v>
      </x:c>
      <x:c r="D626" s="18" t="n">
        <x:v>1689.63</x:v>
      </x:c>
      <x:c r="E626" s="18" t="n">
        <x:v>1704.71</x:v>
      </x:c>
      <x:c r="F626" s="19" t="n">
        <x:v>93525</x:v>
      </x:c>
    </x:row>
    <x:row r="627">
      <x:c r="A627" s="17" t="n">
        <x:v>43957</x:v>
      </x:c>
      <x:c r="B627" s="18" t="n">
        <x:v>1704.51</x:v>
      </x:c>
      <x:c r="C627" s="18" t="n">
        <x:v>1708.06</x:v>
      </x:c>
      <x:c r="D627" s="18" t="n">
        <x:v>1681.14</x:v>
      </x:c>
      <x:c r="E627" s="18" t="n">
        <x:v>1685.19</x:v>
      </x:c>
      <x:c r="F627" s="19" t="n">
        <x:v>86078</x:v>
      </x:c>
    </x:row>
    <x:row r="628">
      <x:c r="A628" s="17" t="n">
        <x:v>43958</x:v>
      </x:c>
      <x:c r="B628" s="18" t="n">
        <x:v>1685.19</x:v>
      </x:c>
      <x:c r="C628" s="18" t="n">
        <x:v>1722.01</x:v>
      </x:c>
      <x:c r="D628" s="18" t="n">
        <x:v>1684.14</x:v>
      </x:c>
      <x:c r="E628" s="18" t="n">
        <x:v>1715.25</x:v>
      </x:c>
      <x:c r="F628" s="19" t="n">
        <x:v>93033</x:v>
      </x:c>
    </x:row>
    <x:row r="629">
      <x:c r="A629" s="17" t="n">
        <x:v>43959</x:v>
      </x:c>
      <x:c r="B629" s="18" t="n">
        <x:v>1715.52</x:v>
      </x:c>
      <x:c r="C629" s="18" t="n">
        <x:v>1723.6</x:v>
      </x:c>
      <x:c r="D629" s="18" t="n">
        <x:v>1701.09</x:v>
      </x:c>
      <x:c r="E629" s="18" t="n">
        <x:v>1702.09</x:v>
      </x:c>
      <x:c r="F629" s="19" t="n">
        <x:v>112340</x:v>
      </x:c>
    </x:row>
    <x:row r="630">
      <x:c r="A630" s="17" t="n">
        <x:v>43962</x:v>
      </x:c>
      <x:c r="B630" s="18" t="n">
        <x:v>1702.38</x:v>
      </x:c>
      <x:c r="C630" s="18" t="n">
        <x:v>1711.8</x:v>
      </x:c>
      <x:c r="D630" s="18" t="n">
        <x:v>1691.53</x:v>
      </x:c>
      <x:c r="E630" s="18" t="n">
        <x:v>1697.64</x:v>
      </x:c>
      <x:c r="F630" s="19" t="n">
        <x:v>112436</x:v>
      </x:c>
    </x:row>
    <x:row r="631">
      <x:c r="A631" s="17" t="n">
        <x:v>43963</x:v>
      </x:c>
      <x:c r="B631" s="18" t="n">
        <x:v>1697.67</x:v>
      </x:c>
      <x:c r="C631" s="18" t="n">
        <x:v>1710.95</x:v>
      </x:c>
      <x:c r="D631" s="18" t="n">
        <x:v>1693.61</x:v>
      </x:c>
      <x:c r="E631" s="18" t="n">
        <x:v>1702.26</x:v>
      </x:c>
      <x:c r="F631" s="19" t="n">
        <x:v>101722</x:v>
      </x:c>
    </x:row>
    <x:row r="632">
      <x:c r="A632" s="17" t="n">
        <x:v>43964</x:v>
      </x:c>
      <x:c r="B632" s="18" t="n">
        <x:v>1702.09</x:v>
      </x:c>
      <x:c r="C632" s="18" t="n">
        <x:v>1718.08</x:v>
      </x:c>
      <x:c r="D632" s="18" t="n">
        <x:v>1698.93</x:v>
      </x:c>
      <x:c r="E632" s="18" t="n">
        <x:v>1715.3</x:v>
      </x:c>
      <x:c r="F632" s="19" t="n">
        <x:v>133767</x:v>
      </x:c>
    </x:row>
    <x:row r="633">
      <x:c r="A633" s="17" t="n">
        <x:v>43965</x:v>
      </x:c>
      <x:c r="B633" s="18" t="n">
        <x:v>1715.31</x:v>
      </x:c>
      <x:c r="C633" s="18" t="n">
        <x:v>1736.39</x:v>
      </x:c>
      <x:c r="D633" s="18" t="n">
        <x:v>1711</x:v>
      </x:c>
      <x:c r="E633" s="18" t="n">
        <x:v>1730.06</x:v>
      </x:c>
      <x:c r="F633" s="19" t="n">
        <x:v>124146</x:v>
      </x:c>
    </x:row>
    <x:row r="634">
      <x:c r="A634" s="17" t="n">
        <x:v>43966</x:v>
      </x:c>
      <x:c r="B634" s="18" t="n">
        <x:v>1730.06</x:v>
      </x:c>
      <x:c r="C634" s="18" t="n">
        <x:v>1751.68</x:v>
      </x:c>
      <x:c r="D634" s="18" t="n">
        <x:v>1728.61</x:v>
      </x:c>
      <x:c r="E634" s="18" t="n">
        <x:v>1741.85</x:v>
      </x:c>
      <x:c r="F634" s="19" t="n">
        <x:v>144595</x:v>
      </x:c>
    </x:row>
    <x:row r="635">
      <x:c r="A635" s="17" t="n">
        <x:v>43969</x:v>
      </x:c>
      <x:c r="B635" s="18" t="n">
        <x:v>1747.36</x:v>
      </x:c>
      <x:c r="C635" s="18" t="n">
        <x:v>1765.08</x:v>
      </x:c>
      <x:c r="D635" s="18" t="n">
        <x:v>1727.5</x:v>
      </x:c>
      <x:c r="E635" s="18" t="n">
        <x:v>1732.2</x:v>
      </x:c>
      <x:c r="F635" s="19" t="n">
        <x:v>145651</x:v>
      </x:c>
    </x:row>
    <x:row r="636">
      <x:c r="A636" s="17" t="n">
        <x:v>43970</x:v>
      </x:c>
      <x:c r="B636" s="18" t="n">
        <x:v>1732.05</x:v>
      </x:c>
      <x:c r="C636" s="18" t="n">
        <x:v>1748.03</x:v>
      </x:c>
      <x:c r="D636" s="18" t="n">
        <x:v>1725.6</x:v>
      </x:c>
      <x:c r="E636" s="18" t="n">
        <x:v>1744.24</x:v>
      </x:c>
      <x:c r="F636" s="19" t="n">
        <x:v>150585</x:v>
      </x:c>
    </x:row>
    <x:row r="637">
      <x:c r="A637" s="17" t="n">
        <x:v>43971</x:v>
      </x:c>
      <x:c r="B637" s="18" t="n">
        <x:v>1744.07</x:v>
      </x:c>
      <x:c r="C637" s="18" t="n">
        <x:v>1753.8</x:v>
      </x:c>
      <x:c r="D637" s="18" t="n">
        <x:v>1742.3</x:v>
      </x:c>
      <x:c r="E637" s="18" t="n">
        <x:v>1747.21</x:v>
      </x:c>
      <x:c r="F637" s="19" t="n">
        <x:v>120833</x:v>
      </x:c>
    </x:row>
    <x:row r="638">
      <x:c r="A638" s="17" t="n">
        <x:v>43972</x:v>
      </x:c>
      <x:c r="B638" s="18" t="n">
        <x:v>1747.24</x:v>
      </x:c>
      <x:c r="C638" s="18" t="n">
        <x:v>1748.79</x:v>
      </x:c>
      <x:c r="D638" s="18" t="n">
        <x:v>1717.1</x:v>
      </x:c>
      <x:c r="E638" s="18" t="n">
        <x:v>1726.76</x:v>
      </x:c>
      <x:c r="F638" s="19" t="n">
        <x:v>126972</x:v>
      </x:c>
    </x:row>
    <x:row r="639">
      <x:c r="A639" s="17" t="n">
        <x:v>43973</x:v>
      </x:c>
      <x:c r="B639" s="18" t="n">
        <x:v>1726.7</x:v>
      </x:c>
      <x:c r="C639" s="18" t="n">
        <x:v>1740.09</x:v>
      </x:c>
      <x:c r="D639" s="18" t="n">
        <x:v>1724.25</x:v>
      </x:c>
      <x:c r="E639" s="18" t="n">
        <x:v>1735.45</x:v>
      </x:c>
      <x:c r="F639" s="19" t="n">
        <x:v>99319</x:v>
      </x:c>
    </x:row>
    <x:row r="640">
      <x:c r="A640" s="17" t="n">
        <x:v>43976</x:v>
      </x:c>
      <x:c r="B640" s="18" t="n">
        <x:v>1732.11</x:v>
      </x:c>
      <x:c r="C640" s="18" t="n">
        <x:v>1733.34</x:v>
      </x:c>
      <x:c r="D640" s="18" t="n">
        <x:v>1721.55</x:v>
      </x:c>
      <x:c r="E640" s="18" t="n">
        <x:v>1728.22</x:v>
      </x:c>
      <x:c r="F640" s="19" t="n">
        <x:v>64718</x:v>
      </x:c>
    </x:row>
    <x:row r="641">
      <x:c r="A641" s="17" t="n">
        <x:v>43977</x:v>
      </x:c>
      <x:c r="B641" s="18" t="n">
        <x:v>1726.06</x:v>
      </x:c>
      <x:c r="C641" s="18" t="n">
        <x:v>1735.41</x:v>
      </x:c>
      <x:c r="D641" s="18" t="n">
        <x:v>1708.65</x:v>
      </x:c>
      <x:c r="E641" s="18" t="n">
        <x:v>1710.31</x:v>
      </x:c>
      <x:c r="F641" s="19" t="n">
        <x:v>112094</x:v>
      </x:c>
    </x:row>
    <x:row r="642">
      <x:c r="A642" s="17" t="n">
        <x:v>43978</x:v>
      </x:c>
      <x:c r="B642" s="18" t="n">
        <x:v>1710.41</x:v>
      </x:c>
      <x:c r="C642" s="18" t="n">
        <x:v>1715.99</x:v>
      </x:c>
      <x:c r="D642" s="18" t="n">
        <x:v>1693.62</x:v>
      </x:c>
      <x:c r="E642" s="18" t="n">
        <x:v>1709.57</x:v>
      </x:c>
      <x:c r="F642" s="19" t="n">
        <x:v>91160</x:v>
      </x:c>
    </x:row>
    <x:row r="643">
      <x:c r="A643" s="17" t="n">
        <x:v>43979</x:v>
      </x:c>
      <x:c r="B643" s="18" t="n">
        <x:v>1709.27</x:v>
      </x:c>
      <x:c r="C643" s="18" t="n">
        <x:v>1727.57</x:v>
      </x:c>
      <x:c r="D643" s="18" t="n">
        <x:v>1707.27</x:v>
      </x:c>
      <x:c r="E643" s="18" t="n">
        <x:v>1718.68</x:v>
      </x:c>
      <x:c r="F643" s="19" t="n">
        <x:v>91368</x:v>
      </x:c>
    </x:row>
    <x:row r="644">
      <x:c r="A644" s="17" t="n">
        <x:v>43980</x:v>
      </x:c>
      <x:c r="B644" s="18" t="n">
        <x:v>1719.54</x:v>
      </x:c>
      <x:c r="C644" s="18" t="n">
        <x:v>1737.69</x:v>
      </x:c>
      <x:c r="D644" s="18" t="n">
        <x:v>1712.75</x:v>
      </x:c>
      <x:c r="E644" s="18" t="n">
        <x:v>1730.41</x:v>
      </x:c>
      <x:c r="F644" s="19" t="n">
        <x:v>86023</x:v>
      </x:c>
    </x:row>
    <x:row r="645">
      <x:c r="A645" s="17" t="n">
        <x:v>43983</x:v>
      </x:c>
      <x:c r="B645" s="18" t="n">
        <x:v>1735.4</x:v>
      </x:c>
      <x:c r="C645" s="18" t="n">
        <x:v>1744.51</x:v>
      </x:c>
      <x:c r="D645" s="18" t="n">
        <x:v>1726.84</x:v>
      </x:c>
      <x:c r="E645" s="18" t="n">
        <x:v>1739.48</x:v>
      </x:c>
      <x:c r="F645" s="19" t="n">
        <x:v>86512</x:v>
      </x:c>
    </x:row>
    <x:row r="646">
      <x:c r="A646" s="17" t="n">
        <x:v>43984</x:v>
      </x:c>
      <x:c r="B646" s="18" t="n">
        <x:v>1737.81</x:v>
      </x:c>
      <x:c r="C646" s="18" t="n">
        <x:v>1745.09</x:v>
      </x:c>
      <x:c r="D646" s="18" t="n">
        <x:v>1721.3</x:v>
      </x:c>
      <x:c r="E646" s="18" t="n">
        <x:v>1727.45</x:v>
      </x:c>
      <x:c r="F646" s="19" t="n">
        <x:v>83030</x:v>
      </x:c>
    </x:row>
    <x:row r="647">
      <x:c r="A647" s="17" t="n">
        <x:v>43985</x:v>
      </x:c>
      <x:c r="B647" s="18" t="n">
        <x:v>1727.04</x:v>
      </x:c>
      <x:c r="C647" s="18" t="n">
        <x:v>1731.75</x:v>
      </x:c>
      <x:c r="D647" s="18" t="n">
        <x:v>1689.21</x:v>
      </x:c>
      <x:c r="E647" s="18" t="n">
        <x:v>1698.26</x:v>
      </x:c>
      <x:c r="F647" s="19" t="n">
        <x:v>97747</x:v>
      </x:c>
    </x:row>
    <x:row r="648">
      <x:c r="A648" s="17" t="n">
        <x:v>43986</x:v>
      </x:c>
      <x:c r="B648" s="18" t="n">
        <x:v>1699.17</x:v>
      </x:c>
      <x:c r="C648" s="18" t="n">
        <x:v>1721.73</x:v>
      </x:c>
      <x:c r="D648" s="18" t="n">
        <x:v>1696.99</x:v>
      </x:c>
      <x:c r="E648" s="18" t="n">
        <x:v>1712.8</x:v>
      </x:c>
      <x:c r="F648" s="19" t="n">
        <x:v>90044</x:v>
      </x:c>
    </x:row>
    <x:row r="649">
      <x:c r="A649" s="17" t="n">
        <x:v>43987</x:v>
      </x:c>
      <x:c r="B649" s="18" t="n">
        <x:v>1714.75</x:v>
      </x:c>
      <x:c r="C649" s="18" t="n">
        <x:v>1716.04</x:v>
      </x:c>
      <x:c r="D649" s="18" t="n">
        <x:v>1670.55</x:v>
      </x:c>
      <x:c r="E649" s="18" t="n">
        <x:v>1684.3</x:v>
      </x:c>
      <x:c r="F649" s="19" t="n">
        <x:v>107874</x:v>
      </x:c>
    </x:row>
    <x:row r="650">
      <x:c r="A650" s="17" t="n">
        <x:v>43990</x:v>
      </x:c>
      <x:c r="B650" s="18" t="n">
        <x:v>1680.52</x:v>
      </x:c>
      <x:c r="C650" s="18" t="n">
        <x:v>1700.67</x:v>
      </x:c>
      <x:c r="D650" s="18" t="n">
        <x:v>1677.22</x:v>
      </x:c>
      <x:c r="E650" s="18" t="n">
        <x:v>1698.39</x:v>
      </x:c>
      <x:c r="F650" s="19" t="n">
        <x:v>86257</x:v>
      </x:c>
    </x:row>
    <x:row r="651">
      <x:c r="A651" s="17" t="n">
        <x:v>43991</x:v>
      </x:c>
      <x:c r="B651" s="18" t="n">
        <x:v>1700.09</x:v>
      </x:c>
      <x:c r="C651" s="18" t="n">
        <x:v>1720.83</x:v>
      </x:c>
      <x:c r="D651" s="18" t="n">
        <x:v>1692.11</x:v>
      </x:c>
      <x:c r="E651" s="18" t="n">
        <x:v>1714.16</x:v>
      </x:c>
      <x:c r="F651" s="19" t="n">
        <x:v>95378</x:v>
      </x:c>
    </x:row>
    <x:row r="652">
      <x:c r="A652" s="17" t="n">
        <x:v>43992</x:v>
      </x:c>
      <x:c r="B652" s="18" t="n">
        <x:v>1715.38</x:v>
      </x:c>
      <x:c r="C652" s="18" t="n">
        <x:v>1739.75</x:v>
      </x:c>
      <x:c r="D652" s="18" t="n">
        <x:v>1708.2</x:v>
      </x:c>
      <x:c r="E652" s="18" t="n">
        <x:v>1737.83</x:v>
      </x:c>
      <x:c r="F652" s="19" t="n">
        <x:v>97211</x:v>
      </x:c>
    </x:row>
    <x:row r="653">
      <x:c r="A653" s="17" t="n">
        <x:v>43993</x:v>
      </x:c>
      <x:c r="B653" s="18" t="n">
        <x:v>1737.94</x:v>
      </x:c>
      <x:c r="C653" s="18" t="n">
        <x:v>1744.63</x:v>
      </x:c>
      <x:c r="D653" s="18" t="n">
        <x:v>1721.27</x:v>
      </x:c>
      <x:c r="E653" s="18" t="n">
        <x:v>1728.56</x:v>
      </x:c>
      <x:c r="F653" s="19" t="n">
        <x:v>113901</x:v>
      </x:c>
    </x:row>
    <x:row r="654">
      <x:c r="A654" s="17" t="n">
        <x:v>43994</x:v>
      </x:c>
      <x:c r="B654" s="18" t="n">
        <x:v>1729.22</x:v>
      </x:c>
      <x:c r="C654" s="18" t="n">
        <x:v>1743.03</x:v>
      </x:c>
      <x:c r="D654" s="18" t="n">
        <x:v>1722.14</x:v>
      </x:c>
      <x:c r="E654" s="18" t="n">
        <x:v>1730.57</x:v>
      </x:c>
      <x:c r="F654" s="19" t="n">
        <x:v>99214</x:v>
      </x:c>
    </x:row>
    <x:row r="655">
      <x:c r="A655" s="17" t="n">
        <x:v>43997</x:v>
      </x:c>
      <x:c r="B655" s="18" t="n">
        <x:v>1730.76</x:v>
      </x:c>
      <x:c r="C655" s="18" t="n">
        <x:v>1734.13</x:v>
      </x:c>
      <x:c r="D655" s="18" t="n">
        <x:v>1704.11</x:v>
      </x:c>
      <x:c r="E655" s="18" t="n">
        <x:v>1725.24</x:v>
      </x:c>
      <x:c r="F655" s="19" t="n">
        <x:v>114171</x:v>
      </x:c>
    </x:row>
    <x:row r="656">
      <x:c r="A656" s="17" t="n">
        <x:v>43998</x:v>
      </x:c>
      <x:c r="B656" s="18" t="n">
        <x:v>1725.27</x:v>
      </x:c>
      <x:c r="C656" s="18" t="n">
        <x:v>1732.84</x:v>
      </x:c>
      <x:c r="D656" s="18" t="n">
        <x:v>1716.41</x:v>
      </x:c>
      <x:c r="E656" s="18" t="n">
        <x:v>1726.41</x:v>
      </x:c>
      <x:c r="F656" s="19" t="n">
        <x:v>101815</x:v>
      </x:c>
    </x:row>
    <x:row r="657">
      <x:c r="A657" s="17" t="n">
        <x:v>43999</x:v>
      </x:c>
      <x:c r="B657" s="18" t="n">
        <x:v>1725</x:v>
      </x:c>
      <x:c r="C657" s="18" t="n">
        <x:v>1730.23</x:v>
      </x:c>
      <x:c r="D657" s="18" t="n">
        <x:v>1712.6</x:v>
      </x:c>
      <x:c r="E657" s="18" t="n">
        <x:v>1726.19</x:v>
      </x:c>
      <x:c r="F657" s="19" t="n">
        <x:v>75069</x:v>
      </x:c>
    </x:row>
    <x:row r="658">
      <x:c r="A658" s="17" t="n">
        <x:v>44000</x:v>
      </x:c>
      <x:c r="B658" s="18" t="n">
        <x:v>1725.79</x:v>
      </x:c>
      <x:c r="C658" s="18" t="n">
        <x:v>1737.59</x:v>
      </x:c>
      <x:c r="D658" s="18" t="n">
        <x:v>1717.3</x:v>
      </x:c>
      <x:c r="E658" s="18" t="n">
        <x:v>1722.48</x:v>
      </x:c>
      <x:c r="F658" s="19" t="n">
        <x:v>80514</x:v>
      </x:c>
    </x:row>
    <x:row r="659">
      <x:c r="A659" s="17" t="n">
        <x:v>44001</x:v>
      </x:c>
      <x:c r="B659" s="18" t="n">
        <x:v>1722.81</x:v>
      </x:c>
      <x:c r="C659" s="18" t="n">
        <x:v>1745.28</x:v>
      </x:c>
      <x:c r="D659" s="18" t="n">
        <x:v>1721.17</x:v>
      </x:c>
      <x:c r="E659" s="18" t="n">
        <x:v>1742.26</x:v>
      </x:c>
      <x:c r="F659" s="19" t="n">
        <x:v>74320</x:v>
      </x:c>
    </x:row>
    <x:row r="660">
      <x:c r="A660" s="17" t="n">
        <x:v>44004</x:v>
      </x:c>
      <x:c r="B660" s="18" t="n">
        <x:v>1747.68</x:v>
      </x:c>
      <x:c r="C660" s="18" t="n">
        <x:v>1763.2</x:v>
      </x:c>
      <x:c r="D660" s="18" t="n">
        <x:v>1742.74</x:v>
      </x:c>
      <x:c r="E660" s="18" t="n">
        <x:v>1754.55</x:v>
      </x:c>
      <x:c r="F660" s="19" t="n">
        <x:v>94028</x:v>
      </x:c>
    </x:row>
    <x:row r="661">
      <x:c r="A661" s="17" t="n">
        <x:v>44005</x:v>
      </x:c>
      <x:c r="B661" s="18" t="n">
        <x:v>1753.97</x:v>
      </x:c>
      <x:c r="C661" s="18" t="n">
        <x:v>1771.07</x:v>
      </x:c>
      <x:c r="D661" s="18" t="n">
        <x:v>1747.29</x:v>
      </x:c>
      <x:c r="E661" s="18" t="n">
        <x:v>1766.95</x:v>
      </x:c>
      <x:c r="F661" s="19" t="n">
        <x:v>91526</x:v>
      </x:c>
    </x:row>
    <x:row r="662">
      <x:c r="A662" s="17" t="n">
        <x:v>44006</x:v>
      </x:c>
      <x:c r="B662" s="18" t="n">
        <x:v>1769.08</x:v>
      </x:c>
      <x:c r="C662" s="18" t="n">
        <x:v>1779.43</x:v>
      </x:c>
      <x:c r="D662" s="18" t="n">
        <x:v>1760.68</x:v>
      </x:c>
      <x:c r="E662" s="18" t="n">
        <x:v>1761.28</x:v>
      </x:c>
      <x:c r="F662" s="19" t="n">
        <x:v>97480</x:v>
      </x:c>
    </x:row>
    <x:row r="663">
      <x:c r="A663" s="17" t="n">
        <x:v>44007</x:v>
      </x:c>
      <x:c r="B663" s="18" t="n">
        <x:v>1759.56</x:v>
      </x:c>
      <x:c r="C663" s="18" t="n">
        <x:v>1768.87</x:v>
      </x:c>
      <x:c r="D663" s="18" t="n">
        <x:v>1755.26</x:v>
      </x:c>
      <x:c r="E663" s="18" t="n">
        <x:v>1763.63</x:v>
      </x:c>
      <x:c r="F663" s="19" t="n">
        <x:v>80846</x:v>
      </x:c>
    </x:row>
    <x:row r="664">
      <x:c r="A664" s="17" t="n">
        <x:v>44008</x:v>
      </x:c>
      <x:c r="B664" s="18" t="n">
        <x:v>1764.15</x:v>
      </x:c>
      <x:c r="C664" s="18" t="n">
        <x:v>1772.03</x:v>
      </x:c>
      <x:c r="D664" s="18" t="n">
        <x:v>1747.43</x:v>
      </x:c>
      <x:c r="E664" s="18" t="n">
        <x:v>1769.57</x:v>
      </x:c>
      <x:c r="F664" s="19" t="n">
        <x:v>77404</x:v>
      </x:c>
    </x:row>
    <x:row r="665">
      <x:c r="A665" s="17" t="n">
        <x:v>44011</x:v>
      </x:c>
      <x:c r="B665" s="18" t="n">
        <x:v>1770.32</x:v>
      </x:c>
      <x:c r="C665" s="18" t="n">
        <x:v>1775.43</x:v>
      </x:c>
      <x:c r="D665" s="18" t="n">
        <x:v>1765.61</x:v>
      </x:c>
      <x:c r="E665" s="18" t="n">
        <x:v>1772.6</x:v>
      </x:c>
      <x:c r="F665" s="19" t="n">
        <x:v>65040</x:v>
      </x:c>
    </x:row>
    <x:row r="666">
      <x:c r="A666" s="17" t="n">
        <x:v>44012</x:v>
      </x:c>
      <x:c r="B666" s="18" t="n">
        <x:v>1771.9</x:v>
      </x:c>
      <x:c r="C666" s="18" t="n">
        <x:v>1785.94</x:v>
      </x:c>
      <x:c r="D666" s="18" t="n">
        <x:v>1764.69</x:v>
      </x:c>
      <x:c r="E666" s="18" t="n">
        <x:v>1780.54</x:v>
      </x:c>
      <x:c r="F666" s="19" t="n">
        <x:v>64578</x:v>
      </x:c>
    </x:row>
    <x:row r="667">
      <x:c r="A667" s="17" t="n">
        <x:v>44013</x:v>
      </x:c>
      <x:c r="B667" s="18" t="n">
        <x:v>1781.61</x:v>
      </x:c>
      <x:c r="C667" s="18" t="n">
        <x:v>1789.08</x:v>
      </x:c>
      <x:c r="D667" s="18" t="n">
        <x:v>1759.22</x:v>
      </x:c>
      <x:c r="E667" s="18" t="n">
        <x:v>1769.84</x:v>
      </x:c>
      <x:c r="F667" s="19" t="n">
        <x:v>83087</x:v>
      </x:c>
    </x:row>
    <x:row r="668">
      <x:c r="A668" s="17" t="n">
        <x:v>44014</x:v>
      </x:c>
      <x:c r="B668" s="18" t="n">
        <x:v>1771.4</x:v>
      </x:c>
      <x:c r="C668" s="18" t="n">
        <x:v>1779.39</x:v>
      </x:c>
      <x:c r="D668" s="18" t="n">
        <x:v>1757.43</x:v>
      </x:c>
      <x:c r="E668" s="18" t="n">
        <x:v>1774.97</x:v>
      </x:c>
      <x:c r="F668" s="19" t="n">
        <x:v>71827</x:v>
      </x:c>
    </x:row>
    <x:row r="669">
      <x:c r="A669" s="17" t="n">
        <x:v>44015</x:v>
      </x:c>
      <x:c r="B669" s="18" t="n">
        <x:v>1776.49</x:v>
      </x:c>
      <x:c r="C669" s="18" t="n">
        <x:v>1777.1</x:v>
      </x:c>
      <x:c r="D669" s="18" t="n">
        <x:v>1772.66</x:v>
      </x:c>
      <x:c r="E669" s="18" t="n">
        <x:v>1774.9</x:v>
      </x:c>
      <x:c r="F669" s="19" t="n">
        <x:v>30087</x:v>
      </x:c>
    </x:row>
    <x:row r="670">
      <x:c r="A670" s="17" t="n">
        <x:v>44018</x:v>
      </x:c>
      <x:c r="B670" s="18" t="n">
        <x:v>1773.37</x:v>
      </x:c>
      <x:c r="C670" s="18" t="n">
        <x:v>1787</x:v>
      </x:c>
      <x:c r="D670" s="18" t="n">
        <x:v>1769.86</x:v>
      </x:c>
      <x:c r="E670" s="18" t="n">
        <x:v>1784.25</x:v>
      </x:c>
      <x:c r="F670" s="19" t="n">
        <x:v>60393</x:v>
      </x:c>
    </x:row>
    <x:row r="671">
      <x:c r="A671" s="17" t="n">
        <x:v>44019</x:v>
      </x:c>
      <x:c r="B671" s="18" t="n">
        <x:v>1785.22</x:v>
      </x:c>
      <x:c r="C671" s="18" t="n">
        <x:v>1797.34</x:v>
      </x:c>
      <x:c r="D671" s="18" t="n">
        <x:v>1773.47</x:v>
      </x:c>
      <x:c r="E671" s="18" t="n">
        <x:v>1794.6</x:v>
      </x:c>
      <x:c r="F671" s="19" t="n">
        <x:v>71877</x:v>
      </x:c>
    </x:row>
    <x:row r="672">
      <x:c r="A672" s="17" t="n">
        <x:v>44020</x:v>
      </x:c>
      <x:c r="B672" s="18" t="n">
        <x:v>1795.13</x:v>
      </x:c>
      <x:c r="C672" s="18" t="n">
        <x:v>1817.92</x:v>
      </x:c>
      <x:c r="D672" s="18" t="n">
        <x:v>1791.52</x:v>
      </x:c>
      <x:c r="E672" s="18" t="n">
        <x:v>1808.45</x:v>
      </x:c>
      <x:c r="F672" s="19" t="n">
        <x:v>69808</x:v>
      </x:c>
    </x:row>
    <x:row r="673">
      <x:c r="A673" s="17" t="n">
        <x:v>44021</x:v>
      </x:c>
      <x:c r="B673" s="18" t="n">
        <x:v>1809.37</x:v>
      </x:c>
      <x:c r="C673" s="18" t="n">
        <x:v>1815.91</x:v>
      </x:c>
      <x:c r="D673" s="18" t="n">
        <x:v>1795.42</x:v>
      </x:c>
      <x:c r="E673" s="18" t="n">
        <x:v>1802.32</x:v>
      </x:c>
      <x:c r="F673" s="19" t="n">
        <x:v>76806</x:v>
      </x:c>
    </x:row>
    <x:row r="674">
      <x:c r="A674" s="17" t="n">
        <x:v>44022</x:v>
      </x:c>
      <x:c r="B674" s="18" t="n">
        <x:v>1802.06</x:v>
      </x:c>
      <x:c r="C674" s="18" t="n">
        <x:v>1810.43</x:v>
      </x:c>
      <x:c r="D674" s="18" t="n">
        <x:v>1793.98</x:v>
      </x:c>
      <x:c r="E674" s="18" t="n">
        <x:v>1798.57</x:v>
      </x:c>
      <x:c r="F674" s="19" t="n">
        <x:v>62639</x:v>
      </x:c>
    </x:row>
    <x:row r="675">
      <x:c r="A675" s="17" t="n">
        <x:v>44025</x:v>
      </x:c>
      <x:c r="B675" s="18" t="n">
        <x:v>1799.11</x:v>
      </x:c>
      <x:c r="C675" s="18" t="n">
        <x:v>1813.31</x:v>
      </x:c>
      <x:c r="D675" s="18" t="n">
        <x:v>1797.73</x:v>
      </x:c>
      <x:c r="E675" s="18" t="n">
        <x:v>1802.27</x:v>
      </x:c>
      <x:c r="F675" s="19" t="n">
        <x:v>71138</x:v>
      </x:c>
    </x:row>
    <x:row r="676">
      <x:c r="A676" s="17" t="n">
        <x:v>44026</x:v>
      </x:c>
      <x:c r="B676" s="18" t="n">
        <x:v>1802.13</x:v>
      </x:c>
      <x:c r="C676" s="18" t="n">
        <x:v>1810.84</x:v>
      </x:c>
      <x:c r="D676" s="18" t="n">
        <x:v>1790.63</x:v>
      </x:c>
      <x:c r="E676" s="18" t="n">
        <x:v>1808.99</x:v>
      </x:c>
      <x:c r="F676" s="19" t="n">
        <x:v>80509</x:v>
      </x:c>
    </x:row>
    <x:row r="677">
      <x:c r="A677" s="17" t="n">
        <x:v>44027</x:v>
      </x:c>
      <x:c r="B677" s="18" t="n">
        <x:v>1807.97</x:v>
      </x:c>
      <x:c r="C677" s="18" t="n">
        <x:v>1815.04</x:v>
      </x:c>
      <x:c r="D677" s="18" t="n">
        <x:v>1802.45</x:v>
      </x:c>
      <x:c r="E677" s="18" t="n">
        <x:v>1809.97</x:v>
      </x:c>
      <x:c r="F677" s="19" t="n">
        <x:v>65442</x:v>
      </x:c>
    </x:row>
    <x:row r="678">
      <x:c r="A678" s="17" t="n">
        <x:v>44028</x:v>
      </x:c>
      <x:c r="B678" s="18" t="n">
        <x:v>1810.53</x:v>
      </x:c>
      <x:c r="C678" s="18" t="n">
        <x:v>1813.29</x:v>
      </x:c>
      <x:c r="D678" s="18" t="n">
        <x:v>1794.9</x:v>
      </x:c>
      <x:c r="E678" s="18" t="n">
        <x:v>1796.84</x:v>
      </x:c>
      <x:c r="F678" s="19" t="n">
        <x:v>63581</x:v>
      </x:c>
    </x:row>
    <x:row r="679">
      <x:c r="A679" s="17" t="n">
        <x:v>44029</x:v>
      </x:c>
      <x:c r="B679" s="18" t="n">
        <x:v>1798.09</x:v>
      </x:c>
      <x:c r="C679" s="18" t="n">
        <x:v>1811.95</x:v>
      </x:c>
      <x:c r="D679" s="18" t="n">
        <x:v>1795.75</x:v>
      </x:c>
      <x:c r="E679" s="18" t="n">
        <x:v>1809.68</x:v>
      </x:c>
      <x:c r="F679" s="19" t="n">
        <x:v>48289</x:v>
      </x:c>
    </x:row>
    <x:row r="680">
      <x:c r="A680" s="17" t="n">
        <x:v>44032</x:v>
      </x:c>
      <x:c r="B680" s="18" t="n">
        <x:v>1808.04</x:v>
      </x:c>
      <x:c r="C680" s="18" t="n">
        <x:v>1820.53</x:v>
      </x:c>
      <x:c r="D680" s="18" t="n">
        <x:v>1805.62</x:v>
      </x:c>
      <x:c r="E680" s="18" t="n">
        <x:v>1817.21</x:v>
      </x:c>
      <x:c r="F680" s="19" t="n">
        <x:v>69408</x:v>
      </x:c>
    </x:row>
    <x:row r="681">
      <x:c r="A681" s="17" t="n">
        <x:v>44033</x:v>
      </x:c>
      <x:c r="B681" s="18" t="n">
        <x:v>1817.92</x:v>
      </x:c>
      <x:c r="C681" s="18" t="n">
        <x:v>1843.47</x:v>
      </x:c>
      <x:c r="D681" s="18" t="n">
        <x:v>1815.59</x:v>
      </x:c>
      <x:c r="E681" s="18" t="n">
        <x:v>1841.48</x:v>
      </x:c>
      <x:c r="F681" s="19" t="n">
        <x:v>84616</x:v>
      </x:c>
    </x:row>
    <x:row r="682">
      <x:c r="A682" s="17" t="n">
        <x:v>44034</x:v>
      </x:c>
      <x:c r="B682" s="18" t="n">
        <x:v>1840.95</x:v>
      </x:c>
      <x:c r="C682" s="18" t="n">
        <x:v>1872.02</x:v>
      </x:c>
      <x:c r="D682" s="18" t="n">
        <x:v>1840.74</x:v>
      </x:c>
      <x:c r="E682" s="18" t="n">
        <x:v>1871.22</x:v>
      </x:c>
      <x:c r="F682" s="19" t="n">
        <x:v>126022</x:v>
      </x:c>
    </x:row>
    <x:row r="683">
      <x:c r="A683" s="17" t="n">
        <x:v>44035</x:v>
      </x:c>
      <x:c r="B683" s="18" t="n">
        <x:v>1873.97</x:v>
      </x:c>
      <x:c r="C683" s="18" t="n">
        <x:v>1898.36</x:v>
      </x:c>
      <x:c r="D683" s="18" t="n">
        <x:v>1863.64</x:v>
      </x:c>
      <x:c r="E683" s="18" t="n">
        <x:v>1885.97</x:v>
      </x:c>
      <x:c r="F683" s="19" t="n">
        <x:v>137686</x:v>
      </x:c>
    </x:row>
    <x:row r="684">
      <x:c r="A684" s="17" t="n">
        <x:v>44036</x:v>
      </x:c>
      <x:c r="B684" s="18" t="n">
        <x:v>1889.65</x:v>
      </x:c>
      <x:c r="C684" s="18" t="n">
        <x:v>1906.5</x:v>
      </x:c>
      <x:c r="D684" s="18" t="n">
        <x:v>1881.29</x:v>
      </x:c>
      <x:c r="E684" s="18" t="n">
        <x:v>1901.63</x:v>
      </x:c>
      <x:c r="F684" s="19" t="n">
        <x:v>97339</x:v>
      </x:c>
    </x:row>
    <x:row r="685">
      <x:c r="A685" s="17" t="n">
        <x:v>44039</x:v>
      </x:c>
      <x:c r="B685" s="18" t="n">
        <x:v>1902.64</x:v>
      </x:c>
      <x:c r="C685" s="18" t="n">
        <x:v>1945.62</x:v>
      </x:c>
      <x:c r="D685" s="18" t="n">
        <x:v>1902.54</x:v>
      </x:c>
      <x:c r="E685" s="18" t="n">
        <x:v>1940.96</x:v>
      </x:c>
      <x:c r="F685" s="19" t="n">
        <x:v>137360</x:v>
      </x:c>
    </x:row>
    <x:row r="686">
      <x:c r="A686" s="17" t="n">
        <x:v>44040</x:v>
      </x:c>
      <x:c r="B686" s="18" t="n">
        <x:v>1943.28</x:v>
      </x:c>
      <x:c r="C686" s="18" t="n">
        <x:v>1981.16</x:v>
      </x:c>
      <x:c r="D686" s="18" t="n">
        <x:v>1906.63</x:v>
      </x:c>
      <x:c r="E686" s="18" t="n">
        <x:v>1957.98</x:v>
      </x:c>
      <x:c r="F686" s="19" t="n">
        <x:v>162655</x:v>
      </x:c>
    </x:row>
    <x:row r="687">
      <x:c r="A687" s="17" t="n">
        <x:v>44041</x:v>
      </x:c>
      <x:c r="B687" s="18" t="n">
        <x:v>1962.16</x:v>
      </x:c>
      <x:c r="C687" s="18" t="n">
        <x:v>1980.75</x:v>
      </x:c>
      <x:c r="D687" s="18" t="n">
        <x:v>1941.33</x:v>
      </x:c>
      <x:c r="E687" s="18" t="n">
        <x:v>1970.82</x:v>
      </x:c>
      <x:c r="F687" s="19" t="n">
        <x:v>110719</x:v>
      </x:c>
    </x:row>
    <x:row r="688">
      <x:c r="A688" s="17" t="n">
        <x:v>44042</x:v>
      </x:c>
      <x:c r="B688" s="18" t="n">
        <x:v>1971.04</x:v>
      </x:c>
      <x:c r="C688" s="18" t="n">
        <x:v>1971.32</x:v>
      </x:c>
      <x:c r="D688" s="18" t="n">
        <x:v>1939.44</x:v>
      </x:c>
      <x:c r="E688" s="18" t="n">
        <x:v>1957.54</x:v>
      </x:c>
      <x:c r="F688" s="19" t="n">
        <x:v>124775</x:v>
      </x:c>
    </x:row>
    <x:row r="689">
      <x:c r="A689" s="17" t="n">
        <x:v>44043</x:v>
      </x:c>
      <x:c r="B689" s="18" t="n">
        <x:v>1955.5</x:v>
      </x:c>
      <x:c r="C689" s="18" t="n">
        <x:v>1983.97</x:v>
      </x:c>
      <x:c r="D689" s="18" t="n">
        <x:v>1955.33</x:v>
      </x:c>
      <x:c r="E689" s="18" t="n">
        <x:v>1975.02</x:v>
      </x:c>
      <x:c r="F689" s="19" t="n">
        <x:v>123851</x:v>
      </x:c>
    </x:row>
    <x:row r="690">
      <x:c r="A690" s="17" t="n">
        <x:v>44046</x:v>
      </x:c>
      <x:c r="B690" s="18" t="n">
        <x:v>1983.53</x:v>
      </x:c>
      <x:c r="C690" s="18" t="n">
        <x:v>1984.9</x:v>
      </x:c>
      <x:c r="D690" s="18" t="n">
        <x:v>1960.39</x:v>
      </x:c>
      <x:c r="E690" s="18" t="n">
        <x:v>1975.98</x:v>
      </x:c>
      <x:c r="F690" s="19" t="n">
        <x:v>93017</x:v>
      </x:c>
    </x:row>
    <x:row r="691">
      <x:c r="A691" s="17" t="n">
        <x:v>44047</x:v>
      </x:c>
      <x:c r="B691" s="18" t="n">
        <x:v>1977.36</x:v>
      </x:c>
      <x:c r="C691" s="18" t="n">
        <x:v>2019.82</x:v>
      </x:c>
      <x:c r="D691" s="18" t="n">
        <x:v>1966.66</x:v>
      </x:c>
      <x:c r="E691" s="18" t="n">
        <x:v>2018.53</x:v>
      </x:c>
      <x:c r="F691" s="19" t="n">
        <x:v>99875</x:v>
      </x:c>
    </x:row>
    <x:row r="692">
      <x:c r="A692" s="17" t="n">
        <x:v>44048</x:v>
      </x:c>
      <x:c r="B692" s="18" t="n">
        <x:v>2021.19</x:v>
      </x:c>
      <x:c r="C692" s="18" t="n">
        <x:v>2055.57</x:v>
      </x:c>
      <x:c r="D692" s="18" t="n">
        <x:v>2009.39</x:v>
      </x:c>
      <x:c r="E692" s="18" t="n">
        <x:v>2038.96</x:v>
      </x:c>
      <x:c r="F692" s="19" t="n">
        <x:v>153351</x:v>
      </x:c>
    </x:row>
    <x:row r="693">
      <x:c r="A693" s="17" t="n">
        <x:v>44049</x:v>
      </x:c>
      <x:c r="B693" s="18" t="n">
        <x:v>2040.28</x:v>
      </x:c>
      <x:c r="C693" s="18" t="n">
        <x:v>2069.74</x:v>
      </x:c>
      <x:c r="D693" s="18" t="n">
        <x:v>2034.44</x:v>
      </x:c>
      <x:c r="E693" s="18" t="n">
        <x:v>2063.25</x:v>
      </x:c>
      <x:c r="F693" s="19" t="n">
        <x:v>135426</x:v>
      </x:c>
    </x:row>
    <x:row r="694">
      <x:c r="A694" s="17" t="n">
        <x:v>44050</x:v>
      </x:c>
      <x:c r="B694" s="18" t="n">
        <x:v>2066.55</x:v>
      </x:c>
      <x:c r="C694" s="18" t="n">
        <x:v>2074.87</x:v>
      </x:c>
      <x:c r="D694" s="18" t="n">
        <x:v>2015.37</x:v>
      </x:c>
      <x:c r="E694" s="18" t="n">
        <x:v>2033.15</x:v>
      </x:c>
      <x:c r="F694" s="19" t="n">
        <x:v>188063</x:v>
      </x:c>
    </x:row>
    <x:row r="695">
      <x:c r="A695" s="17" t="n">
        <x:v>44053</x:v>
      </x:c>
      <x:c r="B695" s="18" t="n">
        <x:v>2026.31</x:v>
      </x:c>
      <x:c r="C695" s="18" t="n">
        <x:v>2049.85</x:v>
      </x:c>
      <x:c r="D695" s="18" t="n">
        <x:v>2019.15</x:v>
      </x:c>
      <x:c r="E695" s="18" t="n">
        <x:v>2027.61</x:v>
      </x:c>
      <x:c r="F695" s="19" t="n">
        <x:v>134556</x:v>
      </x:c>
    </x:row>
    <x:row r="696">
      <x:c r="A696" s="17" t="n">
        <x:v>44054</x:v>
      </x:c>
      <x:c r="B696" s="18" t="n">
        <x:v>2026.64</x:v>
      </x:c>
      <x:c r="C696" s="18" t="n">
        <x:v>2029.92</x:v>
      </x:c>
      <x:c r="D696" s="18" t="n">
        <x:v>1901.25</x:v>
      </x:c>
      <x:c r="E696" s="18" t="n">
        <x:v>1912.57</x:v>
      </x:c>
      <x:c r="F696" s="19" t="n">
        <x:v>198468</x:v>
      </x:c>
    </x:row>
    <x:row r="697">
      <x:c r="A697" s="17" t="n">
        <x:v>44055</x:v>
      </x:c>
      <x:c r="B697" s="18" t="n">
        <x:v>1915.36</x:v>
      </x:c>
      <x:c r="C697" s="18" t="n">
        <x:v>1949.48</x:v>
      </x:c>
      <x:c r="D697" s="18" t="n">
        <x:v>1862.58</x:v>
      </x:c>
      <x:c r="E697" s="18" t="n">
        <x:v>1918.98</x:v>
      </x:c>
      <x:c r="F697" s="19" t="n">
        <x:v>193909</x:v>
      </x:c>
    </x:row>
    <x:row r="698">
      <x:c r="A698" s="17" t="n">
        <x:v>44056</x:v>
      </x:c>
      <x:c r="B698" s="18" t="n">
        <x:v>1919.72</x:v>
      </x:c>
      <x:c r="C698" s="18" t="n">
        <x:v>1966.16</x:v>
      </x:c>
      <x:c r="D698" s="18" t="n">
        <x:v>1912.66</x:v>
      </x:c>
      <x:c r="E698" s="18" t="n">
        <x:v>1953.64</x:v>
      </x:c>
      <x:c r="F698" s="19" t="n">
        <x:v>155604</x:v>
      </x:c>
    </x:row>
    <x:row r="699">
      <x:c r="A699" s="17" t="n">
        <x:v>44057</x:v>
      </x:c>
      <x:c r="B699" s="18" t="n">
        <x:v>1951.38</x:v>
      </x:c>
      <x:c r="C699" s="18" t="n">
        <x:v>1962.37</x:v>
      </x:c>
      <x:c r="D699" s="18" t="n">
        <x:v>1932.07</x:v>
      </x:c>
      <x:c r="E699" s="18" t="n">
        <x:v>1943.57</x:v>
      </x:c>
      <x:c r="F699" s="19" t="n">
        <x:v>134787</x:v>
      </x:c>
    </x:row>
    <x:row r="700">
      <x:c r="A700" s="17" t="n">
        <x:v>44060</x:v>
      </x:c>
      <x:c r="B700" s="18" t="n">
        <x:v>1944.91</x:v>
      </x:c>
      <x:c r="C700" s="18" t="n">
        <x:v>1990.68</x:v>
      </x:c>
      <x:c r="D700" s="18" t="n">
        <x:v>1929.4</x:v>
      </x:c>
      <x:c r="E700" s="18" t="n">
        <x:v>1984.43</x:v>
      </x:c>
      <x:c r="F700" s="19" t="n">
        <x:v>137410</x:v>
      </x:c>
    </x:row>
    <x:row r="701">
      <x:c r="A701" s="17" t="n">
        <x:v>44061</x:v>
      </x:c>
      <x:c r="B701" s="18" t="n">
        <x:v>1983.17</x:v>
      </x:c>
      <x:c r="C701" s="18" t="n">
        <x:v>2015.57</x:v>
      </x:c>
      <x:c r="D701" s="18" t="n">
        <x:v>1975.86</x:v>
      </x:c>
      <x:c r="E701" s="18" t="n">
        <x:v>2002.22</x:v>
      </x:c>
      <x:c r="F701" s="19" t="n">
        <x:v>149175</x:v>
      </x:c>
    </x:row>
    <x:row r="702">
      <x:c r="A702" s="17" t="n">
        <x:v>44062</x:v>
      </x:c>
      <x:c r="B702" s="18" t="n">
        <x:v>2005.1</x:v>
      </x:c>
      <x:c r="C702" s="18" t="n">
        <x:v>2006.37</x:v>
      </x:c>
      <x:c r="D702" s="18" t="n">
        <x:v>1924.51</x:v>
      </x:c>
      <x:c r="E702" s="18" t="n">
        <x:v>1927.66</x:v>
      </x:c>
      <x:c r="F702" s="19" t="n">
        <x:v>168877</x:v>
      </x:c>
    </x:row>
    <x:row r="703">
      <x:c r="A703" s="17" t="n">
        <x:v>44063</x:v>
      </x:c>
      <x:c r="B703" s="18" t="n">
        <x:v>1931.52</x:v>
      </x:c>
      <x:c r="C703" s="18" t="n">
        <x:v>1955.26</x:v>
      </x:c>
      <x:c r="D703" s="18" t="n">
        <x:v>1924.54</x:v>
      </x:c>
      <x:c r="E703" s="18" t="n">
        <x:v>1946.17</x:v>
      </x:c>
      <x:c r="F703" s="19" t="n">
        <x:v>169910</x:v>
      </x:c>
    </x:row>
    <x:row r="704">
      <x:c r="A704" s="17" t="n">
        <x:v>44064</x:v>
      </x:c>
      <x:c r="B704" s="18" t="n">
        <x:v>1948.08</x:v>
      </x:c>
      <x:c r="C704" s="18" t="n">
        <x:v>1955.97</x:v>
      </x:c>
      <x:c r="D704" s="18" t="n">
        <x:v>1911.26</x:v>
      </x:c>
      <x:c r="E704" s="18" t="n">
        <x:v>1938.98</x:v>
      </x:c>
      <x:c r="F704" s="19" t="n">
        <x:v>149830</x:v>
      </x:c>
    </x:row>
    <x:row r="705">
      <x:c r="A705" s="17" t="n">
        <x:v>44067</x:v>
      </x:c>
      <x:c r="B705" s="18" t="n">
        <x:v>1936.69</x:v>
      </x:c>
      <x:c r="C705" s="18" t="n">
        <x:v>1961.88</x:v>
      </x:c>
      <x:c r="D705" s="18" t="n">
        <x:v>1923.74</x:v>
      </x:c>
      <x:c r="E705" s="18" t="n">
        <x:v>1928.38</x:v>
      </x:c>
      <x:c r="F705" s="19" t="n">
        <x:v>131802</x:v>
      </x:c>
    </x:row>
    <x:row r="706">
      <x:c r="A706" s="17" t="n">
        <x:v>44068</x:v>
      </x:c>
      <x:c r="B706" s="18" t="n">
        <x:v>1930.34</x:v>
      </x:c>
      <x:c r="C706" s="18" t="n">
        <x:v>1937.49</x:v>
      </x:c>
      <x:c r="D706" s="18" t="n">
        <x:v>1914.19</x:v>
      </x:c>
      <x:c r="E706" s="18" t="n">
        <x:v>1926.87</x:v>
      </x:c>
      <x:c r="F706" s="19" t="n">
        <x:v>131524</x:v>
      </x:c>
    </x:row>
    <x:row r="707">
      <x:c r="A707" s="17" t="n">
        <x:v>44069</x:v>
      </x:c>
      <x:c r="B707" s="18" t="n">
        <x:v>1928.28</x:v>
      </x:c>
      <x:c r="C707" s="18" t="n">
        <x:v>1954.82</x:v>
      </x:c>
      <x:c r="D707" s="18" t="n">
        <x:v>1902.64</x:v>
      </x:c>
      <x:c r="E707" s="18" t="n">
        <x:v>1953.14</x:v>
      </x:c>
      <x:c r="F707" s="19" t="n">
        <x:v>134650</x:v>
      </x:c>
    </x:row>
    <x:row r="708">
      <x:c r="A708" s="17" t="n">
        <x:v>44070</x:v>
      </x:c>
      <x:c r="B708" s="18" t="n">
        <x:v>1951.92</x:v>
      </x:c>
      <x:c r="C708" s="18" t="n">
        <x:v>1976.53</x:v>
      </x:c>
      <x:c r="D708" s="18" t="n">
        <x:v>1909.79</x:v>
      </x:c>
      <x:c r="E708" s="18" t="n">
        <x:v>1928.32</x:v>
      </x:c>
      <x:c r="F708" s="19" t="n">
        <x:v>159239</x:v>
      </x:c>
    </x:row>
    <x:row r="709">
      <x:c r="A709" s="17" t="n">
        <x:v>44071</x:v>
      </x:c>
      <x:c r="B709" s="18" t="n">
        <x:v>1929.98</x:v>
      </x:c>
      <x:c r="C709" s="18" t="n">
        <x:v>1973.78</x:v>
      </x:c>
      <x:c r="D709" s="18" t="n">
        <x:v>1923.15</x:v>
      </x:c>
      <x:c r="E709" s="18" t="n">
        <x:v>1964.34</x:v>
      </x:c>
      <x:c r="F709" s="19" t="n">
        <x:v>148365</x:v>
      </x:c>
    </x:row>
    <x:row r="710">
      <x:c r="A710" s="17" t="n">
        <x:v>44074</x:v>
      </x:c>
      <x:c r="B710" s="18" t="n">
        <x:v>1969.07</x:v>
      </x:c>
      <x:c r="C710" s="18" t="n">
        <x:v>1976.54</x:v>
      </x:c>
      <x:c r="D710" s="18" t="n">
        <x:v>1954.23</x:v>
      </x:c>
      <x:c r="E710" s="18" t="n">
        <x:v>1968.22</x:v>
      </x:c>
      <x:c r="F710" s="19" t="n">
        <x:v>99691</x:v>
      </x:c>
    </x:row>
    <x:row r="711">
      <x:c r="A711" s="17" t="n">
        <x:v>44075</x:v>
      </x:c>
      <x:c r="B711" s="18" t="n">
        <x:v>1968.35</x:v>
      </x:c>
      <x:c r="C711" s="18" t="n">
        <x:v>1992.29</x:v>
      </x:c>
      <x:c r="D711" s="18" t="n">
        <x:v>1963.35</x:v>
      </x:c>
      <x:c r="E711" s="18" t="n">
        <x:v>1970.63</x:v>
      </x:c>
      <x:c r="F711" s="19" t="n">
        <x:v>110904</x:v>
      </x:c>
    </x:row>
    <x:row r="712">
      <x:c r="A712" s="17" t="n">
        <x:v>44076</x:v>
      </x:c>
      <x:c r="B712" s="18" t="n">
        <x:v>1968.21</x:v>
      </x:c>
      <x:c r="C712" s="18" t="n">
        <x:v>1973.26</x:v>
      </x:c>
      <x:c r="D712" s="18" t="n">
        <x:v>1932.39</x:v>
      </x:c>
      <x:c r="E712" s="18" t="n">
        <x:v>1943.08</x:v>
      </x:c>
      <x:c r="F712" s="19" t="n">
        <x:v>115889</x:v>
      </x:c>
    </x:row>
    <x:row r="713">
      <x:c r="A713" s="17" t="n">
        <x:v>44077</x:v>
      </x:c>
      <x:c r="B713" s="18" t="n">
        <x:v>1942.01</x:v>
      </x:c>
      <x:c r="C713" s="18" t="n">
        <x:v>1950.94</x:v>
      </x:c>
      <x:c r="D713" s="18" t="n">
        <x:v>1921.75</x:v>
      </x:c>
      <x:c r="E713" s="18" t="n">
        <x:v>1930.45</x:v>
      </x:c>
      <x:c r="F713" s="19" t="n">
        <x:v>121698</x:v>
      </x:c>
    </x:row>
    <x:row r="714">
      <x:c r="A714" s="17" t="n">
        <x:v>44078</x:v>
      </x:c>
      <x:c r="B714" s="18" t="n">
        <x:v>1931.28</x:v>
      </x:c>
      <x:c r="C714" s="18" t="n">
        <x:v>1948.36</x:v>
      </x:c>
      <x:c r="D714" s="18" t="n">
        <x:v>1916.27</x:v>
      </x:c>
      <x:c r="E714" s="18" t="n">
        <x:v>1933.09</x:v>
      </x:c>
      <x:c r="F714" s="19" t="n">
        <x:v>122132</x:v>
      </x:c>
    </x:row>
    <x:row r="715">
      <x:c r="A715" s="17" t="n">
        <x:v>44081</x:v>
      </x:c>
      <x:c r="B715" s="18" t="n">
        <x:v>1932.07</x:v>
      </x:c>
      <x:c r="C715" s="18" t="n">
        <x:v>1941.37</x:v>
      </x:c>
      <x:c r="D715" s="18" t="n">
        <x:v>1924.44</x:v>
      </x:c>
      <x:c r="E715" s="18" t="n">
        <x:v>1928.29</x:v>
      </x:c>
      <x:c r="F715" s="19" t="n">
        <x:v>53826</x:v>
      </x:c>
    </x:row>
    <x:row r="716">
      <x:c r="A716" s="17" t="n">
        <x:v>44082</x:v>
      </x:c>
      <x:c r="B716" s="18" t="n">
        <x:v>1929.54</x:v>
      </x:c>
      <x:c r="C716" s="18" t="n">
        <x:v>1940.84</x:v>
      </x:c>
      <x:c r="D716" s="18" t="n">
        <x:v>1906.54</x:v>
      </x:c>
      <x:c r="E716" s="18" t="n">
        <x:v>1931.51</x:v>
      </x:c>
      <x:c r="F716" s="19" t="n">
        <x:v>127513</x:v>
      </x:c>
    </x:row>
    <x:row r="717">
      <x:c r="A717" s="17" t="n">
        <x:v>44083</x:v>
      </x:c>
      <x:c r="B717" s="18" t="n">
        <x:v>1931.59</x:v>
      </x:c>
      <x:c r="C717" s="18" t="n">
        <x:v>1950.84</x:v>
      </x:c>
      <x:c r="D717" s="18" t="n">
        <x:v>1919.95</x:v>
      </x:c>
      <x:c r="E717" s="18" t="n">
        <x:v>1947.37</x:v>
      </x:c>
      <x:c r="F717" s="19" t="n">
        <x:v>106929</x:v>
      </x:c>
    </x:row>
    <x:row r="718">
      <x:c r="A718" s="17" t="n">
        <x:v>44084</x:v>
      </x:c>
      <x:c r="B718" s="18" t="n">
        <x:v>1946.3</x:v>
      </x:c>
      <x:c r="C718" s="18" t="n">
        <x:v>1966.53</x:v>
      </x:c>
      <x:c r="D718" s="18" t="n">
        <x:v>1941.35</x:v>
      </x:c>
      <x:c r="E718" s="18" t="n">
        <x:v>1946.01</x:v>
      </x:c>
      <x:c r="F718" s="19" t="n">
        <x:v>125077</x:v>
      </x:c>
    </x:row>
    <x:row r="719">
      <x:c r="A719" s="17" t="n">
        <x:v>44085</x:v>
      </x:c>
      <x:c r="B719" s="18" t="n">
        <x:v>1946.32</x:v>
      </x:c>
      <x:c r="C719" s="18" t="n">
        <x:v>1954.8</x:v>
      </x:c>
      <x:c r="D719" s="18" t="n">
        <x:v>1937.12</x:v>
      </x:c>
      <x:c r="E719" s="18" t="n">
        <x:v>1940.48</x:v>
      </x:c>
      <x:c r="F719" s="19" t="n">
        <x:v>115707</x:v>
      </x:c>
    </x:row>
    <x:row r="720">
      <x:c r="A720" s="17" t="n">
        <x:v>44088</x:v>
      </x:c>
      <x:c r="B720" s="18" t="n">
        <x:v>1937.74</x:v>
      </x:c>
      <x:c r="C720" s="18" t="n">
        <x:v>1962.56</x:v>
      </x:c>
      <x:c r="D720" s="18" t="n">
        <x:v>1937.36</x:v>
      </x:c>
      <x:c r="E720" s="18" t="n">
        <x:v>1956.52</x:v>
      </x:c>
      <x:c r="F720" s="19" t="n">
        <x:v>94840</x:v>
      </x:c>
    </x:row>
    <x:row r="721">
      <x:c r="A721" s="17" t="n">
        <x:v>44089</x:v>
      </x:c>
      <x:c r="B721" s="18" t="n">
        <x:v>1957.68</x:v>
      </x:c>
      <x:c r="C721" s="18" t="n">
        <x:v>1972.21</x:v>
      </x:c>
      <x:c r="D721" s="18" t="n">
        <x:v>1948.29</x:v>
      </x:c>
      <x:c r="E721" s="18" t="n">
        <x:v>1953.34</x:v>
      </x:c>
      <x:c r="F721" s="19" t="n">
        <x:v>101514</x:v>
      </x:c>
    </x:row>
    <x:row r="722">
      <x:c r="A722" s="17" t="n">
        <x:v>44090</x:v>
      </x:c>
      <x:c r="B722" s="18" t="n">
        <x:v>1954.52</x:v>
      </x:c>
      <x:c r="C722" s="18" t="n">
        <x:v>1973.64</x:v>
      </x:c>
      <x:c r="D722" s="18" t="n">
        <x:v>1949.87</x:v>
      </x:c>
      <x:c r="E722" s="18" t="n">
        <x:v>1959.15</x:v>
      </x:c>
      <x:c r="F722" s="19" t="n">
        <x:v>114101</x:v>
      </x:c>
    </x:row>
    <x:row r="723">
      <x:c r="A723" s="17" t="n">
        <x:v>44091</x:v>
      </x:c>
      <x:c r="B723" s="18" t="n">
        <x:v>1959.47</x:v>
      </x:c>
      <x:c r="C723" s="18" t="n">
        <x:v>1960.96</x:v>
      </x:c>
      <x:c r="D723" s="18" t="n">
        <x:v>1932.87</x:v>
      </x:c>
      <x:c r="E723" s="18" t="n">
        <x:v>1944.2</x:v>
      </x:c>
      <x:c r="F723" s="19" t="n">
        <x:v>116066</x:v>
      </x:c>
    </x:row>
    <x:row r="724">
      <x:c r="A724" s="17" t="n">
        <x:v>44092</x:v>
      </x:c>
      <x:c r="B724" s="18" t="n">
        <x:v>1944.43</x:v>
      </x:c>
      <x:c r="C724" s="18" t="n">
        <x:v>1960.1</x:v>
      </x:c>
      <x:c r="D724" s="18" t="n">
        <x:v>1943.93</x:v>
      </x:c>
      <x:c r="E724" s="18" t="n">
        <x:v>1950.42</x:v>
      </x:c>
      <x:c r="F724" s="19" t="n">
        <x:v>104181</x:v>
      </x:c>
    </x:row>
    <x:row r="725">
      <x:c r="A725" s="17" t="n">
        <x:v>44095</x:v>
      </x:c>
      <x:c r="B725" s="18" t="n">
        <x:v>1949.75</x:v>
      </x:c>
      <x:c r="C725" s="18" t="n">
        <x:v>1955.62</x:v>
      </x:c>
      <x:c r="D725" s="18" t="n">
        <x:v>1882.71</x:v>
      </x:c>
      <x:c r="E725" s="18" t="n">
        <x:v>1911.92</x:v>
      </x:c>
      <x:c r="F725" s="19" t="n">
        <x:v>140739</x:v>
      </x:c>
    </x:row>
    <x:row r="726">
      <x:c r="A726" s="17" t="n">
        <x:v>44096</x:v>
      </x:c>
      <x:c r="B726" s="18" t="n">
        <x:v>1914.34</x:v>
      </x:c>
      <x:c r="C726" s="18" t="n">
        <x:v>1920.03</x:v>
      </x:c>
      <x:c r="D726" s="18" t="n">
        <x:v>1894.64</x:v>
      </x:c>
      <x:c r="E726" s="18" t="n">
        <x:v>1900.34</x:v>
      </x:c>
      <x:c r="F726" s="19" t="n">
        <x:v>138128</x:v>
      </x:c>
    </x:row>
    <x:row r="727">
      <x:c r="A727" s="17" t="n">
        <x:v>44097</x:v>
      </x:c>
      <x:c r="B727" s="18" t="n">
        <x:v>1900.62</x:v>
      </x:c>
      <x:c r="C727" s="18" t="n">
        <x:v>1905.39</x:v>
      </x:c>
      <x:c r="D727" s="18" t="n">
        <x:v>1855.67</x:v>
      </x:c>
      <x:c r="E727" s="18" t="n">
        <x:v>1862.74</x:v>
      </x:c>
      <x:c r="F727" s="19" t="n">
        <x:v>170439</x:v>
      </x:c>
    </x:row>
    <x:row r="728">
      <x:c r="A728" s="17" t="n">
        <x:v>44098</x:v>
      </x:c>
      <x:c r="B728" s="18" t="n">
        <x:v>1863.96</x:v>
      </x:c>
      <x:c r="C728" s="18" t="n">
        <x:v>1877.15</x:v>
      </x:c>
      <x:c r="D728" s="18" t="n">
        <x:v>1848.75</x:v>
      </x:c>
      <x:c r="E728" s="18" t="n">
        <x:v>1868.66</x:v>
      </x:c>
      <x:c r="F728" s="19" t="n">
        <x:v>185366</x:v>
      </x:c>
    </x:row>
    <x:row r="729">
      <x:c r="A729" s="17" t="n">
        <x:v>44099</x:v>
      </x:c>
      <x:c r="B729" s="18" t="n">
        <x:v>1869.77</x:v>
      </x:c>
      <x:c r="C729" s="18" t="n">
        <x:v>1875.18</x:v>
      </x:c>
      <x:c r="D729" s="18" t="n">
        <x:v>1852.37</x:v>
      </x:c>
      <x:c r="E729" s="18" t="n">
        <x:v>1860.14</x:v>
      </x:c>
      <x:c r="F729" s="19" t="n">
        <x:v>143312</x:v>
      </x:c>
    </x:row>
    <x:row r="730">
      <x:c r="A730" s="17" t="n">
        <x:v>44102</x:v>
      </x:c>
      <x:c r="B730" s="18" t="n">
        <x:v>1862.9</x:v>
      </x:c>
      <x:c r="C730" s="18" t="n">
        <x:v>1882.96</x:v>
      </x:c>
      <x:c r="D730" s="18" t="n">
        <x:v>1848.93</x:v>
      </x:c>
      <x:c r="E730" s="18" t="n">
        <x:v>1881.84</x:v>
      </x:c>
      <x:c r="F730" s="19" t="n">
        <x:v>121920</x:v>
      </x:c>
    </x:row>
    <x:row r="731">
      <x:c r="A731" s="17" t="n">
        <x:v>44103</x:v>
      </x:c>
      <x:c r="B731" s="18" t="n">
        <x:v>1881.24</x:v>
      </x:c>
      <x:c r="C731" s="18" t="n">
        <x:v>1899.12</x:v>
      </x:c>
      <x:c r="D731" s="18" t="n">
        <x:v>1875.49</x:v>
      </x:c>
      <x:c r="E731" s="18" t="n">
        <x:v>1897.48</x:v>
      </x:c>
      <x:c r="F731" s="19" t="n">
        <x:v>121758</x:v>
      </x:c>
    </x:row>
    <x:row r="732">
      <x:c r="A732" s="17" t="n">
        <x:v>44104</x:v>
      </x:c>
      <x:c r="B732" s="18" t="n">
        <x:v>1897.69</x:v>
      </x:c>
      <x:c r="C732" s="18" t="n">
        <x:v>1902.27</x:v>
      </x:c>
      <x:c r="D732" s="18" t="n">
        <x:v>1881.34</x:v>
      </x:c>
      <x:c r="E732" s="18" t="n">
        <x:v>1885.23</x:v>
      </x:c>
      <x:c r="F732" s="19" t="n">
        <x:v>124684</x:v>
      </x:c>
    </x:row>
    <x:row r="733">
      <x:c r="A733" s="17" t="n">
        <x:v>44105</x:v>
      </x:c>
      <x:c r="B733" s="18" t="n">
        <x:v>1887.32</x:v>
      </x:c>
      <x:c r="C733" s="18" t="n">
        <x:v>1912.12</x:v>
      </x:c>
      <x:c r="D733" s="18" t="n">
        <x:v>1884.67</x:v>
      </x:c>
      <x:c r="E733" s="18" t="n">
        <x:v>1905.94</x:v>
      </x:c>
      <x:c r="F733" s="19" t="n">
        <x:v>129822</x:v>
      </x:c>
    </x:row>
    <x:row r="734">
      <x:c r="A734" s="17" t="n">
        <x:v>44106</x:v>
      </x:c>
      <x:c r="B734" s="18" t="n">
        <x:v>1904.72</x:v>
      </x:c>
      <x:c r="C734" s="18" t="n">
        <x:v>1917.1</x:v>
      </x:c>
      <x:c r="D734" s="18" t="n">
        <x:v>1889.76</x:v>
      </x:c>
      <x:c r="E734" s="18" t="n">
        <x:v>1900.58</x:v>
      </x:c>
      <x:c r="F734" s="19" t="n">
        <x:v>110455</x:v>
      </x:c>
    </x:row>
    <x:row r="735">
      <x:c r="A735" s="17" t="n">
        <x:v>44109</x:v>
      </x:c>
      <x:c r="B735" s="18" t="n">
        <x:v>1903.47</x:v>
      </x:c>
      <x:c r="C735" s="18" t="n">
        <x:v>1918.73</x:v>
      </x:c>
      <x:c r="D735" s="18" t="n">
        <x:v>1887.05</x:v>
      </x:c>
      <x:c r="E735" s="18" t="n">
        <x:v>1913.65</x:v>
      </x:c>
      <x:c r="F735" s="19" t="n">
        <x:v>96742</x:v>
      </x:c>
    </x:row>
    <x:row r="736">
      <x:c r="A736" s="17" t="n">
        <x:v>44110</x:v>
      </x:c>
      <x:c r="B736" s="18" t="n">
        <x:v>1911.96</x:v>
      </x:c>
      <x:c r="C736" s="18" t="n">
        <x:v>1921.09</x:v>
      </x:c>
      <x:c r="D736" s="18" t="n">
        <x:v>1876.78</x:v>
      </x:c>
      <x:c r="E736" s="18" t="n">
        <x:v>1877.56</x:v>
      </x:c>
      <x:c r="F736" s="19" t="n">
        <x:v>103229</x:v>
      </x:c>
    </x:row>
    <x:row r="737">
      <x:c r="A737" s="17" t="n">
        <x:v>44111</x:v>
      </x:c>
      <x:c r="B737" s="18" t="n">
        <x:v>1877.88</x:v>
      </x:c>
      <x:c r="C737" s="18" t="n">
        <x:v>1898.01</x:v>
      </x:c>
      <x:c r="D737" s="18" t="n">
        <x:v>1872.94</x:v>
      </x:c>
      <x:c r="E737" s="18" t="n">
        <x:v>1887.83</x:v>
      </x:c>
      <x:c r="F737" s="19" t="n">
        <x:v>94014</x:v>
      </x:c>
    </x:row>
    <x:row r="738">
      <x:c r="A738" s="17" t="n">
        <x:v>44112</x:v>
      </x:c>
      <x:c r="B738" s="18" t="n">
        <x:v>1887.27</x:v>
      </x:c>
      <x:c r="C738" s="18" t="n">
        <x:v>1900.62</x:v>
      </x:c>
      <x:c r="D738" s="18" t="n">
        <x:v>1882</x:v>
      </x:c>
      <x:c r="E738" s="18" t="n">
        <x:v>1893.5</x:v>
      </x:c>
      <x:c r="F738" s="19" t="n">
        <x:v>89931</x:v>
      </x:c>
    </x:row>
    <x:row r="739">
      <x:c r="A739" s="17" t="n">
        <x:v>44113</x:v>
      </x:c>
      <x:c r="B739" s="18" t="n">
        <x:v>1893.93</x:v>
      </x:c>
      <x:c r="C739" s="18" t="n">
        <x:v>1930.41</x:v>
      </x:c>
      <x:c r="D739" s="18" t="n">
        <x:v>1893.58</x:v>
      </x:c>
      <x:c r="E739" s="18" t="n">
        <x:v>1929.87</x:v>
      </x:c>
      <x:c r="F739" s="19" t="n">
        <x:v>93245</x:v>
      </x:c>
    </x:row>
    <x:row r="740">
      <x:c r="A740" s="17" t="n">
        <x:v>44116</x:v>
      </x:c>
      <x:c r="B740" s="18" t="n">
        <x:v>1926.89</x:v>
      </x:c>
      <x:c r="C740" s="18" t="n">
        <x:v>1933.18</x:v>
      </x:c>
      <x:c r="D740" s="18" t="n">
        <x:v>1918.2</x:v>
      </x:c>
      <x:c r="E740" s="18" t="n">
        <x:v>1922.63</x:v>
      </x:c>
      <x:c r="F740" s="19" t="n">
        <x:v>89130</x:v>
      </x:c>
    </x:row>
    <x:row r="741">
      <x:c r="A741" s="17" t="n">
        <x:v>44117</x:v>
      </x:c>
      <x:c r="B741" s="18" t="n">
        <x:v>1923.88</x:v>
      </x:c>
      <x:c r="C741" s="18" t="n">
        <x:v>1925.37</x:v>
      </x:c>
      <x:c r="D741" s="18" t="n">
        <x:v>1886.37</x:v>
      </x:c>
      <x:c r="E741" s="18" t="n">
        <x:v>1891.07</x:v>
      </x:c>
      <x:c r="F741" s="19" t="n">
        <x:v>98934</x:v>
      </x:c>
    </x:row>
    <x:row r="742">
      <x:c r="A742" s="17" t="n">
        <x:v>44118</x:v>
      </x:c>
      <x:c r="B742" s="18" t="n">
        <x:v>1892.95</x:v>
      </x:c>
      <x:c r="C742" s="18" t="n">
        <x:v>1912.94</x:v>
      </x:c>
      <x:c r="D742" s="18" t="n">
        <x:v>1882.46</x:v>
      </x:c>
      <x:c r="E742" s="18" t="n">
        <x:v>1900.49</x:v>
      </x:c>
      <x:c r="F742" s="19" t="n">
        <x:v>88039</x:v>
      </x:c>
    </x:row>
    <x:row r="743">
      <x:c r="A743" s="17" t="n">
        <x:v>44119</x:v>
      </x:c>
      <x:c r="B743" s="18" t="n">
        <x:v>1901.54</x:v>
      </x:c>
      <x:c r="C743" s="18" t="n">
        <x:v>1908.9</x:v>
      </x:c>
      <x:c r="D743" s="18" t="n">
        <x:v>1889.48</x:v>
      </x:c>
      <x:c r="E743" s="18" t="n">
        <x:v>1907.92</x:v>
      </x:c>
      <x:c r="F743" s="19" t="n">
        <x:v>100016</x:v>
      </x:c>
    </x:row>
    <x:row r="744">
      <x:c r="A744" s="17" t="n">
        <x:v>44120</x:v>
      </x:c>
      <x:c r="B744" s="18" t="n">
        <x:v>1908.74</x:v>
      </x:c>
      <x:c r="C744" s="18" t="n">
        <x:v>1913.92</x:v>
      </x:c>
      <x:c r="D744" s="18" t="n">
        <x:v>1897.76</x:v>
      </x:c>
      <x:c r="E744" s="18" t="n">
        <x:v>1898.76</x:v>
      </x:c>
      <x:c r="F744" s="19" t="n">
        <x:v>79358</x:v>
      </x:c>
    </x:row>
    <x:row r="745">
      <x:c r="A745" s="17" t="n">
        <x:v>44123</x:v>
      </x:c>
      <x:c r="B745" s="18" t="n">
        <x:v>1899.71</x:v>
      </x:c>
      <x:c r="C745" s="18" t="n">
        <x:v>1918.47</x:v>
      </x:c>
      <x:c r="D745" s="18" t="n">
        <x:v>1896.98</x:v>
      </x:c>
      <x:c r="E745" s="18" t="n">
        <x:v>1903.44</x:v>
      </x:c>
      <x:c r="F745" s="19" t="n">
        <x:v>81201</x:v>
      </x:c>
    </x:row>
    <x:row r="746">
      <x:c r="A746" s="17" t="n">
        <x:v>44124</x:v>
      </x:c>
      <x:c r="B746" s="18" t="n">
        <x:v>1903.5</x:v>
      </x:c>
      <x:c r="C746" s="18" t="n">
        <x:v>1914.03</x:v>
      </x:c>
      <x:c r="D746" s="18" t="n">
        <x:v>1894.81</x:v>
      </x:c>
      <x:c r="E746" s="18" t="n">
        <x:v>1907.53</x:v>
      </x:c>
      <x:c r="F746" s="19" t="n">
        <x:v>80173</x:v>
      </x:c>
    </x:row>
    <x:row r="747">
      <x:c r="A747" s="17" t="n">
        <x:v>44125</x:v>
      </x:c>
      <x:c r="B747" s="18" t="n">
        <x:v>1910.14</x:v>
      </x:c>
      <x:c r="C747" s="18" t="n">
        <x:v>1931.36</x:v>
      </x:c>
      <x:c r="D747" s="18" t="n">
        <x:v>1908.41</x:v>
      </x:c>
      <x:c r="E747" s="18" t="n">
        <x:v>1924.6</x:v>
      </x:c>
      <x:c r="F747" s="19" t="n">
        <x:v>87121</x:v>
      </x:c>
    </x:row>
    <x:row r="748">
      <x:c r="A748" s="17" t="n">
        <x:v>44126</x:v>
      </x:c>
      <x:c r="B748" s="18" t="n">
        <x:v>1924.65</x:v>
      </x:c>
      <x:c r="C748" s="18" t="n">
        <x:v>1925.94</x:v>
      </x:c>
      <x:c r="D748" s="18" t="n">
        <x:v>1894.5</x:v>
      </x:c>
      <x:c r="E748" s="18" t="n">
        <x:v>1903.67</x:v>
      </x:c>
      <x:c r="F748" s="19" t="n">
        <x:v>83858</x:v>
      </x:c>
    </x:row>
    <x:row r="749">
      <x:c r="A749" s="17" t="n">
        <x:v>44127</x:v>
      </x:c>
      <x:c r="B749" s="18" t="n">
        <x:v>1904.81</x:v>
      </x:c>
      <x:c r="C749" s="18" t="n">
        <x:v>1914.19</x:v>
      </x:c>
      <x:c r="D749" s="18" t="n">
        <x:v>1894.29</x:v>
      </x:c>
      <x:c r="E749" s="18" t="n">
        <x:v>1901.41</x:v>
      </x:c>
      <x:c r="F749" s="19" t="n">
        <x:v>72918</x:v>
      </x:c>
    </x:row>
    <x:row r="750">
      <x:c r="A750" s="17" t="n">
        <x:v>44130</x:v>
      </x:c>
      <x:c r="B750" s="18" t="n">
        <x:v>1901.37</x:v>
      </x:c>
      <x:c r="C750" s="18" t="n">
        <x:v>1908.52</x:v>
      </x:c>
      <x:c r="D750" s="18" t="n">
        <x:v>1891.21</x:v>
      </x:c>
      <x:c r="E750" s="18" t="n">
        <x:v>1901.68</x:v>
      </x:c>
      <x:c r="F750" s="19" t="n">
        <x:v>84997</x:v>
      </x:c>
    </x:row>
    <x:row r="751">
      <x:c r="A751" s="17" t="n">
        <x:v>44131</x:v>
      </x:c>
      <x:c r="B751" s="18" t="n">
        <x:v>1902.06</x:v>
      </x:c>
      <x:c r="C751" s="18" t="n">
        <x:v>1911.42</x:v>
      </x:c>
      <x:c r="D751" s="18" t="n">
        <x:v>1897.84</x:v>
      </x:c>
      <x:c r="E751" s="18" t="n">
        <x:v>1907.35</x:v>
      </x:c>
      <x:c r="F751" s="19" t="n">
        <x:v>70872</x:v>
      </x:c>
    </x:row>
    <x:row r="752">
      <x:c r="A752" s="17" t="n">
        <x:v>44132</x:v>
      </x:c>
      <x:c r="B752" s="18" t="n">
        <x:v>1907.75</x:v>
      </x:c>
      <x:c r="C752" s="18" t="n">
        <x:v>1910.87</x:v>
      </x:c>
      <x:c r="D752" s="18" t="n">
        <x:v>1869.36</x:v>
      </x:c>
      <x:c r="E752" s="18" t="n">
        <x:v>1876.81</x:v>
      </x:c>
      <x:c r="F752" s="19" t="n">
        <x:v>107560</x:v>
      </x:c>
    </x:row>
    <x:row r="753">
      <x:c r="A753" s="17" t="n">
        <x:v>44133</x:v>
      </x:c>
      <x:c r="B753" s="18" t="n">
        <x:v>1877.7</x:v>
      </x:c>
      <x:c r="C753" s="18" t="n">
        <x:v>1884.97</x:v>
      </x:c>
      <x:c r="D753" s="18" t="n">
        <x:v>1859.92</x:v>
      </x:c>
      <x:c r="E753" s="18" t="n">
        <x:v>1867.11</x:v>
      </x:c>
      <x:c r="F753" s="19" t="n">
        <x:v>101170</x:v>
      </x:c>
    </x:row>
    <x:row r="754">
      <x:c r="A754" s="17" t="n">
        <x:v>44134</x:v>
      </x:c>
      <x:c r="B754" s="18" t="n">
        <x:v>1869.1</x:v>
      </x:c>
      <x:c r="C754" s="18" t="n">
        <x:v>1889.79</x:v>
      </x:c>
      <x:c r="D754" s="18" t="n">
        <x:v>1864.45</x:v>
      </x:c>
      <x:c r="E754" s="18" t="n">
        <x:v>1878.37</x:v>
      </x:c>
      <x:c r="F754" s="19" t="n">
        <x:v>102452</x:v>
      </x:c>
    </x:row>
    <x:row r="755">
      <x:c r="A755" s="17" t="n">
        <x:v>44137</x:v>
      </x:c>
      <x:c r="B755" s="18" t="n">
        <x:v>1879.27</x:v>
      </x:c>
      <x:c r="C755" s="18" t="n">
        <x:v>1896.02</x:v>
      </x:c>
      <x:c r="D755" s="18" t="n">
        <x:v>1873.41</x:v>
      </x:c>
      <x:c r="E755" s="18" t="n">
        <x:v>1895.06</x:v>
      </x:c>
      <x:c r="F755" s="19" t="n">
        <x:v>91898</x:v>
      </x:c>
    </x:row>
    <x:row r="756">
      <x:c r="A756" s="17" t="n">
        <x:v>44138</x:v>
      </x:c>
      <x:c r="B756" s="18" t="n">
        <x:v>1894.95</x:v>
      </x:c>
      <x:c r="C756" s="18" t="n">
        <x:v>1910.55</x:v>
      </x:c>
      <x:c r="D756" s="18" t="n">
        <x:v>1886.86</x:v>
      </x:c>
      <x:c r="E756" s="18" t="n">
        <x:v>1908.94</x:v>
      </x:c>
      <x:c r="F756" s="19" t="n">
        <x:v>83912</x:v>
      </x:c>
    </x:row>
    <x:row r="757">
      <x:c r="A757" s="17" t="n">
        <x:v>44139</x:v>
      </x:c>
      <x:c r="B757" s="18" t="n">
        <x:v>1909.17</x:v>
      </x:c>
      <x:c r="C757" s="18" t="n">
        <x:v>1916.31</x:v>
      </x:c>
      <x:c r="D757" s="18" t="n">
        <x:v>1881.82</x:v>
      </x:c>
      <x:c r="E757" s="18" t="n">
        <x:v>1903.27</x:v>
      </x:c>
      <x:c r="F757" s="19" t="n">
        <x:v>138750</x:v>
      </x:c>
    </x:row>
    <x:row r="758">
      <x:c r="A758" s="17" t="n">
        <x:v>44140</x:v>
      </x:c>
      <x:c r="B758" s="18" t="n">
        <x:v>1903.22</x:v>
      </x:c>
      <x:c r="C758" s="18" t="n">
        <x:v>1952.76</x:v>
      </x:c>
      <x:c r="D758" s="18" t="n">
        <x:v>1902.45</x:v>
      </x:c>
      <x:c r="E758" s="18" t="n">
        <x:v>1949.17</x:v>
      </x:c>
      <x:c r="F758" s="19" t="n">
        <x:v>136181</x:v>
      </x:c>
    </x:row>
    <x:row r="759">
      <x:c r="A759" s="17" t="n">
        <x:v>44141</x:v>
      </x:c>
      <x:c r="B759" s="18" t="n">
        <x:v>1946.29</x:v>
      </x:c>
      <x:c r="C759" s="18" t="n">
        <x:v>1960.29</x:v>
      </x:c>
      <x:c r="D759" s="18" t="n">
        <x:v>1935.59</x:v>
      </x:c>
      <x:c r="E759" s="18" t="n">
        <x:v>1951.81</x:v>
      </x:c>
      <x:c r="F759" s="19" t="n">
        <x:v>129291</x:v>
      </x:c>
    </x:row>
    <x:row r="760">
      <x:c r="A760" s="17" t="n">
        <x:v>44144</x:v>
      </x:c>
      <x:c r="B760" s="18" t="n">
        <x:v>1957.18</x:v>
      </x:c>
      <x:c r="C760" s="18" t="n">
        <x:v>1965.46</x:v>
      </x:c>
      <x:c r="D760" s="18" t="n">
        <x:v>1850.52</x:v>
      </x:c>
      <x:c r="E760" s="18" t="n">
        <x:v>1863.13</x:v>
      </x:c>
      <x:c r="F760" s="19" t="n">
        <x:v>178171</x:v>
      </x:c>
    </x:row>
    <x:row r="761">
      <x:c r="A761" s="17" t="n">
        <x:v>44145</x:v>
      </x:c>
      <x:c r="B761" s="18" t="n">
        <x:v>1860.97</x:v>
      </x:c>
      <x:c r="C761" s="18" t="n">
        <x:v>1890.35</x:v>
      </x:c>
      <x:c r="D761" s="18" t="n">
        <x:v>1860.69</x:v>
      </x:c>
      <x:c r="E761" s="18" t="n">
        <x:v>1877.39</x:v>
      </x:c>
      <x:c r="F761" s="19" t="n">
        <x:v>145814</x:v>
      </x:c>
    </x:row>
    <x:row r="762">
      <x:c r="A762" s="17" t="n">
        <x:v>44146</x:v>
      </x:c>
      <x:c r="B762" s="18" t="n">
        <x:v>1875.53</x:v>
      </x:c>
      <x:c r="C762" s="18" t="n">
        <x:v>1884.41</x:v>
      </x:c>
      <x:c r="D762" s="18" t="n">
        <x:v>1856.43</x:v>
      </x:c>
      <x:c r="E762" s="18" t="n">
        <x:v>1865.5</x:v>
      </x:c>
      <x:c r="F762" s="19" t="n">
        <x:v>110216</x:v>
      </x:c>
    </x:row>
    <x:row r="763">
      <x:c r="A763" s="17" t="n">
        <x:v>44147</x:v>
      </x:c>
      <x:c r="B763" s="18" t="n">
        <x:v>1866.76</x:v>
      </x:c>
      <x:c r="C763" s="18" t="n">
        <x:v>1883.81</x:v>
      </x:c>
      <x:c r="D763" s="18" t="n">
        <x:v>1862.69</x:v>
      </x:c>
      <x:c r="E763" s="18" t="n">
        <x:v>1876.71</x:v>
      </x:c>
      <x:c r="F763" s="19" t="n">
        <x:v>108861</x:v>
      </x:c>
    </x:row>
    <x:row r="764">
      <x:c r="A764" s="17" t="n">
        <x:v>44148</x:v>
      </x:c>
      <x:c r="B764" s="18" t="n">
        <x:v>1877.12</x:v>
      </x:c>
      <x:c r="C764" s="18" t="n">
        <x:v>1896.75</x:v>
      </x:c>
      <x:c r="D764" s="18" t="n">
        <x:v>1873.97</x:v>
      </x:c>
      <x:c r="E764" s="18" t="n">
        <x:v>1889.28</x:v>
      </x:c>
      <x:c r="F764" s="19" t="n">
        <x:v>91972</x:v>
      </x:c>
    </x:row>
    <x:row r="765">
      <x:c r="A765" s="17" t="n">
        <x:v>44151</x:v>
      </x:c>
      <x:c r="B765" s="18" t="n">
        <x:v>1887.89</x:v>
      </x:c>
      <x:c r="C765" s="18" t="n">
        <x:v>1899.01</x:v>
      </x:c>
      <x:c r="D765" s="18" t="n">
        <x:v>1864.46</x:v>
      </x:c>
      <x:c r="E765" s="18" t="n">
        <x:v>1888.66</x:v>
      </x:c>
      <x:c r="F765" s="19" t="n">
        <x:v>117953</x:v>
      </x:c>
    </x:row>
    <x:row r="766">
      <x:c r="A766" s="17" t="n">
        <x:v>44152</x:v>
      </x:c>
      <x:c r="B766" s="18" t="n">
        <x:v>1889.5</x:v>
      </x:c>
      <x:c r="C766" s="18" t="n">
        <x:v>1893.43</x:v>
      </x:c>
      <x:c r="D766" s="18" t="n">
        <x:v>1876.84</x:v>
      </x:c>
      <x:c r="E766" s="18" t="n">
        <x:v>1880.19</x:v>
      </x:c>
      <x:c r="F766" s="19" t="n">
        <x:v>92151</x:v>
      </x:c>
    </x:row>
    <x:row r="767">
      <x:c r="A767" s="17" t="n">
        <x:v>44153</x:v>
      </x:c>
      <x:c r="B767" s="18" t="n">
        <x:v>1881.56</x:v>
      </x:c>
      <x:c r="C767" s="18" t="n">
        <x:v>1884.82</x:v>
      </x:c>
      <x:c r="D767" s="18" t="n">
        <x:v>1863.47</x:v>
      </x:c>
      <x:c r="E767" s="18" t="n">
        <x:v>1871.97</x:v>
      </x:c>
      <x:c r="F767" s="19" t="n">
        <x:v>88323</x:v>
      </x:c>
    </x:row>
    <x:row r="768">
      <x:c r="A768" s="17" t="n">
        <x:v>44154</x:v>
      </x:c>
      <x:c r="B768" s="18" t="n">
        <x:v>1873.83</x:v>
      </x:c>
      <x:c r="C768" s="18" t="n">
        <x:v>1874.13</x:v>
      </x:c>
      <x:c r="D768" s="18" t="n">
        <x:v>1852.69</x:v>
      </x:c>
      <x:c r="E768" s="18" t="n">
        <x:v>1866.84</x:v>
      </x:c>
      <x:c r="F768" s="19" t="n">
        <x:v>88459</x:v>
      </x:c>
    </x:row>
    <x:row r="769">
      <x:c r="A769" s="17" t="n">
        <x:v>44155</x:v>
      </x:c>
      <x:c r="B769" s="18" t="n">
        <x:v>1861.33</x:v>
      </x:c>
      <x:c r="C769" s="18" t="n">
        <x:v>1879.75</x:v>
      </x:c>
      <x:c r="D769" s="18" t="n">
        <x:v>1860.76</x:v>
      </x:c>
      <x:c r="E769" s="18" t="n">
        <x:v>1870.9</x:v>
      </x:c>
      <x:c r="F769" s="19" t="n">
        <x:v>69867</x:v>
      </x:c>
    </x:row>
    <x:row r="770">
      <x:c r="A770" s="17" t="n">
        <x:v>44158</x:v>
      </x:c>
      <x:c r="B770" s="18" t="n">
        <x:v>1870.86</x:v>
      </x:c>
      <x:c r="C770" s="18" t="n">
        <x:v>1876.14</x:v>
      </x:c>
      <x:c r="D770" s="18" t="n">
        <x:v>1830.95</x:v>
      </x:c>
      <x:c r="E770" s="18" t="n">
        <x:v>1837.49</x:v>
      </x:c>
      <x:c r="F770" s="19" t="n">
        <x:v>90322</x:v>
      </x:c>
    </x:row>
    <x:row r="771">
      <x:c r="A771" s="17" t="n">
        <x:v>44159</x:v>
      </x:c>
      <x:c r="B771" s="18" t="n">
        <x:v>1838.68</x:v>
      </x:c>
      <x:c r="C771" s="18" t="n">
        <x:v>1838.95</x:v>
      </x:c>
      <x:c r="D771" s="18" t="n">
        <x:v>1800.25</x:v>
      </x:c>
      <x:c r="E771" s="18" t="n">
        <x:v>1807.71</x:v>
      </x:c>
      <x:c r="F771" s="19" t="n">
        <x:v>115098</x:v>
      </x:c>
    </x:row>
    <x:row r="772">
      <x:c r="A772" s="17" t="n">
        <x:v>44160</x:v>
      </x:c>
      <x:c r="B772" s="18" t="n">
        <x:v>1807.66</x:v>
      </x:c>
      <x:c r="C772" s="18" t="n">
        <x:v>1817.63</x:v>
      </x:c>
      <x:c r="D772" s="18" t="n">
        <x:v>1801.73</x:v>
      </x:c>
      <x:c r="E772" s="18" t="n">
        <x:v>1807.07</x:v>
      </x:c>
      <x:c r="F772" s="19" t="n">
        <x:v>80615</x:v>
      </x:c>
    </x:row>
    <x:row r="773">
      <x:c r="A773" s="17" t="n">
        <x:v>44161</x:v>
      </x:c>
      <x:c r="B773" s="18" t="n">
        <x:v>1809.01</x:v>
      </x:c>
      <x:c r="C773" s="18" t="n">
        <x:v>1818.22</x:v>
      </x:c>
      <x:c r="D773" s="18" t="n">
        <x:v>1805.7</x:v>
      </x:c>
      <x:c r="E773" s="18" t="n">
        <x:v>1810.2</x:v>
      </x:c>
      <x:c r="F773" s="19" t="n">
        <x:v>48151</x:v>
      </x:c>
    </x:row>
    <x:row r="774">
      <x:c r="A774" s="17" t="n">
        <x:v>44162</x:v>
      </x:c>
      <x:c r="B774" s="18" t="n">
        <x:v>1810.24</x:v>
      </x:c>
      <x:c r="C774" s="18" t="n">
        <x:v>1813.88</x:v>
      </x:c>
      <x:c r="D774" s="18" t="n">
        <x:v>1774.33</x:v>
      </x:c>
      <x:c r="E774" s="18" t="n">
        <x:v>1786.76</x:v>
      </x:c>
      <x:c r="F774" s="19" t="n">
        <x:v>77501</x:v>
      </x:c>
    </x:row>
    <x:row r="775">
      <x:c r="A775" s="17" t="n">
        <x:v>44165</x:v>
      </x:c>
      <x:c r="B775" s="18" t="n">
        <x:v>1789.31</x:v>
      </x:c>
      <x:c r="C775" s="18" t="n">
        <x:v>1789.86</x:v>
      </x:c>
      <x:c r="D775" s="18" t="n">
        <x:v>1764.38</x:v>
      </x:c>
      <x:c r="E775" s="18" t="n">
        <x:v>1777.64</x:v>
      </x:c>
      <x:c r="F775" s="19" t="n">
        <x:v>99038</x:v>
      </x:c>
    </x:row>
    <x:row r="776">
      <x:c r="A776" s="17" t="n">
        <x:v>44166</x:v>
      </x:c>
      <x:c r="B776" s="18" t="n">
        <x:v>1776.97</x:v>
      </x:c>
      <x:c r="C776" s="18" t="n">
        <x:v>1817.27</x:v>
      </x:c>
      <x:c r="D776" s="18" t="n">
        <x:v>1775.74</x:v>
      </x:c>
      <x:c r="E776" s="18" t="n">
        <x:v>1815.42</x:v>
      </x:c>
      <x:c r="F776" s="19" t="n">
        <x:v>84421</x:v>
      </x:c>
    </x:row>
    <x:row r="777">
      <x:c r="A777" s="17" t="n">
        <x:v>44167</x:v>
      </x:c>
      <x:c r="B777" s="18" t="n">
        <x:v>1812.97</x:v>
      </x:c>
      <x:c r="C777" s="18" t="n">
        <x:v>1832.55</x:v>
      </x:c>
      <x:c r="D777" s="18" t="n">
        <x:v>1807.43</x:v>
      </x:c>
      <x:c r="E777" s="18" t="n">
        <x:v>1830.72</x:v>
      </x:c>
      <x:c r="F777" s="19" t="n">
        <x:v>80494</x:v>
      </x:c>
    </x:row>
    <x:row r="778">
      <x:c r="A778" s="17" t="n">
        <x:v>44168</x:v>
      </x:c>
      <x:c r="B778" s="18" t="n">
        <x:v>1829.36</x:v>
      </x:c>
      <x:c r="C778" s="18" t="n">
        <x:v>1843.91</x:v>
      </x:c>
      <x:c r="D778" s="18" t="n">
        <x:v>1823.64</x:v>
      </x:c>
      <x:c r="E778" s="18" t="n">
        <x:v>1840.98</x:v>
      </x:c>
      <x:c r="F778" s="19" t="n">
        <x:v>89559</x:v>
      </x:c>
    </x:row>
    <x:row r="779">
      <x:c r="A779" s="17" t="n">
        <x:v>44169</x:v>
      </x:c>
      <x:c r="B779" s="18" t="n">
        <x:v>1841.28</x:v>
      </x:c>
      <x:c r="C779" s="18" t="n">
        <x:v>1848.17</x:v>
      </x:c>
      <x:c r="D779" s="18" t="n">
        <x:v>1829.11</x:v>
      </x:c>
      <x:c r="E779" s="18" t="n">
        <x:v>1838.6</x:v>
      </x:c>
      <x:c r="F779" s="19" t="n">
        <x:v>74001</x:v>
      </x:c>
    </x:row>
    <x:row r="780">
      <x:c r="A780" s="17" t="n">
        <x:v>44172</x:v>
      </x:c>
      <x:c r="B780" s="18" t="n">
        <x:v>1836.86</x:v>
      </x:c>
      <x:c r="C780" s="18" t="n">
        <x:v>1868.5</x:v>
      </x:c>
      <x:c r="D780" s="18" t="n">
        <x:v>1821.99</x:v>
      </x:c>
      <x:c r="E780" s="18" t="n">
        <x:v>1863.1</x:v>
      </x:c>
      <x:c r="F780" s="19" t="n">
        <x:v>80761</x:v>
      </x:c>
    </x:row>
    <x:row r="781">
      <x:c r="A781" s="17" t="n">
        <x:v>44173</x:v>
      </x:c>
      <x:c r="B781" s="18" t="n">
        <x:v>1862.91</x:v>
      </x:c>
      <x:c r="C781" s="18" t="n">
        <x:v>1875.28</x:v>
      </x:c>
      <x:c r="D781" s="18" t="n">
        <x:v>1860.17</x:v>
      </x:c>
      <x:c r="E781" s="18" t="n">
        <x:v>1870.83</x:v>
      </x:c>
      <x:c r="F781" s="19" t="n">
        <x:v>75510</x:v>
      </x:c>
    </x:row>
    <x:row r="782">
      <x:c r="A782" s="17" t="n">
        <x:v>44174</x:v>
      </x:c>
      <x:c r="B782" s="18" t="n">
        <x:v>1869.35</x:v>
      </x:c>
      <x:c r="C782" s="18" t="n">
        <x:v>1870.53</x:v>
      </x:c>
      <x:c r="D782" s="18" t="n">
        <x:v>1825.4</x:v>
      </x:c>
      <x:c r="E782" s="18" t="n">
        <x:v>1839.41</x:v>
      </x:c>
      <x:c r="F782" s="19" t="n">
        <x:v>99377</x:v>
      </x:c>
    </x:row>
    <x:row r="783">
      <x:c r="A783" s="17" t="n">
        <x:v>44175</x:v>
      </x:c>
      <x:c r="B783" s="18" t="n">
        <x:v>1838.49</x:v>
      </x:c>
      <x:c r="C783" s="18" t="n">
        <x:v>1849.98</x:v>
      </x:c>
      <x:c r="D783" s="18" t="n">
        <x:v>1828.62</x:v>
      </x:c>
      <x:c r="E783" s="18" t="n">
        <x:v>1835.96</x:v>
      </x:c>
      <x:c r="F783" s="19" t="n">
        <x:v>90853</x:v>
      </x:c>
    </x:row>
    <x:row r="784">
      <x:c r="A784" s="17" t="n">
        <x:v>44176</x:v>
      </x:c>
      <x:c r="B784" s="18" t="n">
        <x:v>1837.03</x:v>
      </x:c>
      <x:c r="C784" s="18" t="n">
        <x:v>1847.66</x:v>
      </x:c>
      <x:c r="D784" s="18" t="n">
        <x:v>1823.91</x:v>
      </x:c>
      <x:c r="E784" s="18" t="n">
        <x:v>1839.91</x:v>
      </x:c>
      <x:c r="F784" s="19" t="n">
        <x:v>75786</x:v>
      </x:c>
    </x:row>
    <x:row r="785">
      <x:c r="A785" s="17" t="n">
        <x:v>44179</x:v>
      </x:c>
      <x:c r="B785" s="18" t="n">
        <x:v>1837.07</x:v>
      </x:c>
      <x:c r="C785" s="18" t="n">
        <x:v>1839.02</x:v>
      </x:c>
      <x:c r="D785" s="18" t="n">
        <x:v>1818.34</x:v>
      </x:c>
      <x:c r="E785" s="18" t="n">
        <x:v>1827.82</x:v>
      </x:c>
      <x:c r="F785" s="19" t="n">
        <x:v>77212</x:v>
      </x:c>
    </x:row>
    <x:row r="786">
      <x:c r="A786" s="17" t="n">
        <x:v>44180</x:v>
      </x:c>
      <x:c r="B786" s="18" t="n">
        <x:v>1828.4</x:v>
      </x:c>
      <x:c r="C786" s="18" t="n">
        <x:v>1855.32</x:v>
      </x:c>
      <x:c r="D786" s="18" t="n">
        <x:v>1825.46</x:v>
      </x:c>
      <x:c r="E786" s="18" t="n">
        <x:v>1853.67</x:v>
      </x:c>
      <x:c r="F786" s="19" t="n">
        <x:v>74189</x:v>
      </x:c>
    </x:row>
    <x:row r="787">
      <x:c r="A787" s="17" t="n">
        <x:v>44181</x:v>
      </x:c>
      <x:c r="B787" s="18" t="n">
        <x:v>1853.88</x:v>
      </x:c>
      <x:c r="C787" s="18" t="n">
        <x:v>1865.77</x:v>
      </x:c>
      <x:c r="D787" s="18" t="n">
        <x:v>1844.71</x:v>
      </x:c>
      <x:c r="E787" s="18" t="n">
        <x:v>1864.06</x:v>
      </x:c>
      <x:c r="F787" s="19" t="n">
        <x:v>101568</x:v>
      </x:c>
    </x:row>
    <x:row r="788">
      <x:c r="A788" s="17" t="n">
        <x:v>44182</x:v>
      </x:c>
      <x:c r="B788" s="18" t="n">
        <x:v>1863.46</x:v>
      </x:c>
      <x:c r="C788" s="18" t="n">
        <x:v>1896.19</x:v>
      </x:c>
      <x:c r="D788" s="18" t="n">
        <x:v>1862.01</x:v>
      </x:c>
      <x:c r="E788" s="18" t="n">
        <x:v>1886.04</x:v>
      </x:c>
      <x:c r="F788" s="19" t="n">
        <x:v>95207</x:v>
      </x:c>
    </x:row>
    <x:row r="789">
      <x:c r="A789" s="17" t="n">
        <x:v>44183</x:v>
      </x:c>
      <x:c r="B789" s="18" t="n">
        <x:v>1884.71</x:v>
      </x:c>
      <x:c r="C789" s="18" t="n">
        <x:v>1889.58</x:v>
      </x:c>
      <x:c r="D789" s="18" t="n">
        <x:v>1877.38</x:v>
      </x:c>
      <x:c r="E789" s="18" t="n">
        <x:v>1880.55</x:v>
      </x:c>
      <x:c r="F789" s="19" t="n">
        <x:v>78474</x:v>
      </x:c>
    </x:row>
    <x:row r="790">
      <x:c r="A790" s="17" t="n">
        <x:v>44186</x:v>
      </x:c>
      <x:c r="B790" s="18" t="n">
        <x:v>1882.51</x:v>
      </x:c>
      <x:c r="C790" s="18" t="n">
        <x:v>1906.7</x:v>
      </x:c>
      <x:c r="D790" s="18" t="n">
        <x:v>1854.99</x:v>
      </x:c>
      <x:c r="E790" s="18" t="n">
        <x:v>1876.25</x:v>
      </x:c>
      <x:c r="F790" s="19" t="n">
        <x:v>133851</x:v>
      </x:c>
    </x:row>
    <x:row r="791">
      <x:c r="A791" s="17" t="n">
        <x:v>44187</x:v>
      </x:c>
      <x:c r="B791" s="18" t="n">
        <x:v>1879.31</x:v>
      </x:c>
      <x:c r="C791" s="18" t="n">
        <x:v>1884.21</x:v>
      </x:c>
      <x:c r="D791" s="18" t="n">
        <x:v>1858.93</x:v>
      </x:c>
      <x:c r="E791" s="18" t="n">
        <x:v>1859.91</x:v>
      </x:c>
      <x:c r="F791" s="19" t="n">
        <x:v>101321</x:v>
      </x:c>
    </x:row>
    <x:row r="792">
      <x:c r="A792" s="17" t="n">
        <x:v>44188</x:v>
      </x:c>
      <x:c r="B792" s="18" t="n">
        <x:v>1861.01</x:v>
      </x:c>
      <x:c r="C792" s="18" t="n">
        <x:v>1878.56</x:v>
      </x:c>
      <x:c r="D792" s="18" t="n">
        <x:v>1857.06</x:v>
      </x:c>
      <x:c r="E792" s="18" t="n">
        <x:v>1872.63</x:v>
      </x:c>
      <x:c r="F792" s="19" t="n">
        <x:v>98019</x:v>
      </x:c>
    </x:row>
    <x:row r="793">
      <x:c r="A793" s="17" t="n">
        <x:v>44189</x:v>
      </x:c>
      <x:c r="B793" s="18" t="n">
        <x:v>1873.39</x:v>
      </x:c>
      <x:c r="C793" s="18" t="n">
        <x:v>1883.46</x:v>
      </x:c>
      <x:c r="D793" s="18" t="n">
        <x:v>1869.5</x:v>
      </x:c>
      <x:c r="E793" s="18" t="n">
        <x:v>1879.3</x:v>
      </x:c>
      <x:c r="F793" s="19" t="n">
        <x:v>55919</x:v>
      </x:c>
    </x:row>
    <x:row r="794">
      <x:c r="A794" s="17" t="n">
        <x:v>44193</x:v>
      </x:c>
      <x:c r="B794" s="18" t="n">
        <x:v>1888.4</x:v>
      </x:c>
      <x:c r="C794" s="18" t="n">
        <x:v>1900.2</x:v>
      </x:c>
      <x:c r="D794" s="18" t="n">
        <x:v>1869.12</x:v>
      </x:c>
      <x:c r="E794" s="18" t="n">
        <x:v>1873.05</x:v>
      </x:c>
      <x:c r="F794" s="19" t="n">
        <x:v>85663</x:v>
      </x:c>
    </x:row>
    <x:row r="795">
      <x:c r="A795" s="17" t="n">
        <x:v>44194</x:v>
      </x:c>
      <x:c r="B795" s="18" t="n">
        <x:v>1875.23</x:v>
      </x:c>
      <x:c r="C795" s="18" t="n">
        <x:v>1886.44</x:v>
      </x:c>
      <x:c r="D795" s="18" t="n">
        <x:v>1871.71</x:v>
      </x:c>
      <x:c r="E795" s="18" t="n">
        <x:v>1878.17</x:v>
      </x:c>
      <x:c r="F795" s="19" t="n">
        <x:v>75438</x:v>
      </x:c>
    </x:row>
    <x:row r="796">
      <x:c r="A796" s="17" t="n">
        <x:v>44195</x:v>
      </x:c>
      <x:c r="B796" s="18" t="n">
        <x:v>1877.31</x:v>
      </x:c>
      <x:c r="C796" s="18" t="n">
        <x:v>1894.04</x:v>
      </x:c>
      <x:c r="D796" s="18" t="n">
        <x:v>1876.08</x:v>
      </x:c>
      <x:c r="E796" s="18" t="n">
        <x:v>1893.81</x:v>
      </x:c>
      <x:c r="F796" s="19" t="n">
        <x:v>63365</x:v>
      </x:c>
    </x:row>
    <x:row r="797">
      <x:c r="A797" s="17" t="n">
        <x:v>44196</x:v>
      </x:c>
      <x:c r="B797" s="18" t="n">
        <x:v>1893.47</x:v>
      </x:c>
      <x:c r="C797" s="18" t="n">
        <x:v>1900.38</x:v>
      </x:c>
      <x:c r="D797" s="18" t="n">
        <x:v>1885.41</x:v>
      </x:c>
      <x:c r="E797" s="18" t="n">
        <x:v>1893.43</x:v>
      </x:c>
      <x:c r="F797" s="19" t="n">
        <x:v>63888</x:v>
      </x:c>
    </x:row>
    <x:row r="798">
      <x:c r="A798" s="17" t="n">
        <x:v>44200</x:v>
      </x:c>
      <x:c r="B798" s="18" t="n">
        <x:v>1909.07</x:v>
      </x:c>
      <x:c r="C798" s="18" t="n">
        <x:v>1944.43</x:v>
      </x:c>
      <x:c r="D798" s="18" t="n">
        <x:v>1907.72</x:v>
      </x:c>
      <x:c r="E798" s="18" t="n">
        <x:v>1943.23</x:v>
      </x:c>
      <x:c r="F798" s="19" t="n">
        <x:v>110285</x:v>
      </x:c>
    </x:row>
    <x:row r="799">
      <x:c r="A799" s="17" t="n">
        <x:v>44201</x:v>
      </x:c>
      <x:c r="B799" s="18" t="n">
        <x:v>1941.49</x:v>
      </x:c>
      <x:c r="C799" s="18" t="n">
        <x:v>1953.09</x:v>
      </x:c>
      <x:c r="D799" s="18" t="n">
        <x:v>1934.31</x:v>
      </x:c>
      <x:c r="E799" s="18" t="n">
        <x:v>1950.03</x:v>
      </x:c>
      <x:c r="F799" s="19" t="n">
        <x:v>95998</x:v>
      </x:c>
    </x:row>
    <x:row r="800">
      <x:c r="A800" s="17" t="n">
        <x:v>44202</x:v>
      </x:c>
      <x:c r="B800" s="18" t="n">
        <x:v>1949.89</x:v>
      </x:c>
      <x:c r="C800" s="18" t="n">
        <x:v>1959.29</x:v>
      </x:c>
      <x:c r="D800" s="18" t="n">
        <x:v>1900.83</x:v>
      </x:c>
      <x:c r="E800" s="18" t="n">
        <x:v>1918.79</x:v>
      </x:c>
      <x:c r="F800" s="19" t="n">
        <x:v>143511</x:v>
      </x:c>
    </x:row>
    <x:row r="801">
      <x:c r="A801" s="17" t="n">
        <x:v>44203</x:v>
      </x:c>
      <x:c r="B801" s="18" t="n">
        <x:v>1920.94</x:v>
      </x:c>
      <x:c r="C801" s="18" t="n">
        <x:v>1927.64</x:v>
      </x:c>
      <x:c r="D801" s="18" t="n">
        <x:v>1906.77</x:v>
      </x:c>
      <x:c r="E801" s="18" t="n">
        <x:v>1913.51</x:v>
      </x:c>
      <x:c r="F801" s="19" t="n">
        <x:v>105316</x:v>
      </x:c>
    </x:row>
    <x:row r="802">
      <x:c r="A802" s="17" t="n">
        <x:v>44204</x:v>
      </x:c>
      <x:c r="B802" s="18" t="n">
        <x:v>1916.18</x:v>
      </x:c>
      <x:c r="C802" s="18" t="n">
        <x:v>1917.48</x:v>
      </x:c>
      <x:c r="D802" s="18" t="n">
        <x:v>1828.27</x:v>
      </x:c>
      <x:c r="E802" s="18" t="n">
        <x:v>1849.04</x:v>
      </x:c>
      <x:c r="F802" s="19" t="n">
        <x:v>155562</x:v>
      </x:c>
    </x:row>
    <x:row r="803">
      <x:c r="A803" s="17" t="n">
        <x:v>44207</x:v>
      </x:c>
      <x:c r="B803" s="18" t="n">
        <x:v>1854.74</x:v>
      </x:c>
      <x:c r="C803" s="18" t="n">
        <x:v>1855.59</x:v>
      </x:c>
      <x:c r="D803" s="18" t="n">
        <x:v>1817</x:v>
      </x:c>
      <x:c r="E803" s="18" t="n">
        <x:v>1844.45</x:v>
      </x:c>
      <x:c r="F803" s="19" t="n">
        <x:v>120645</x:v>
      </x:c>
    </x:row>
    <x:row r="804">
      <x:c r="A804" s="17" t="n">
        <x:v>44208</x:v>
      </x:c>
      <x:c r="B804" s="18" t="n">
        <x:v>1847.51</x:v>
      </x:c>
      <x:c r="C804" s="18" t="n">
        <x:v>1863.8</x:v>
      </x:c>
      <x:c r="D804" s="18" t="n">
        <x:v>1836.7</x:v>
      </x:c>
      <x:c r="E804" s="18" t="n">
        <x:v>1855.31</x:v>
      </x:c>
      <x:c r="F804" s="19" t="n">
        <x:v>105679</x:v>
      </x:c>
    </x:row>
    <x:row r="805">
      <x:c r="A805" s="17" t="n">
        <x:v>44209</x:v>
      </x:c>
      <x:c r="B805" s="18" t="n">
        <x:v>1855.04</x:v>
      </x:c>
      <x:c r="C805" s="18" t="n">
        <x:v>1862.94</x:v>
      </x:c>
      <x:c r="D805" s="18" t="n">
        <x:v>1841.91</x:v>
      </x:c>
      <x:c r="E805" s="18" t="n">
        <x:v>1844.68</x:v>
      </x:c>
      <x:c r="F805" s="19" t="n">
        <x:v>88213</x:v>
      </x:c>
    </x:row>
    <x:row r="806">
      <x:c r="A806" s="17" t="n">
        <x:v>44210</x:v>
      </x:c>
      <x:c r="B806" s="18" t="n">
        <x:v>1847.51</x:v>
      </x:c>
      <x:c r="C806" s="18" t="n">
        <x:v>1857.45</x:v>
      </x:c>
      <x:c r="D806" s="18" t="n">
        <x:v>1830.94</x:v>
      </x:c>
      <x:c r="E806" s="18" t="n">
        <x:v>1846.46</x:v>
      </x:c>
      <x:c r="F806" s="19" t="n">
        <x:v>102850</x:v>
      </x:c>
    </x:row>
    <x:row r="807">
      <x:c r="A807" s="17" t="n">
        <x:v>44211</x:v>
      </x:c>
      <x:c r="B807" s="18" t="n">
        <x:v>1847.79</x:v>
      </x:c>
      <x:c r="C807" s="18" t="n">
        <x:v>1856.85</x:v>
      </x:c>
      <x:c r="D807" s="18" t="n">
        <x:v>1823.39</x:v>
      </x:c>
      <x:c r="E807" s="18" t="n">
        <x:v>1827.65</x:v>
      </x:c>
      <x:c r="F807" s="19" t="n">
        <x:v>125252</x:v>
      </x:c>
    </x:row>
    <x:row r="808">
      <x:c r="A808" s="17" t="n">
        <x:v>44214</x:v>
      </x:c>
      <x:c r="B808" s="18" t="n">
        <x:v>1828.39</x:v>
      </x:c>
      <x:c r="C808" s="18" t="n">
        <x:v>1840.72</x:v>
      </x:c>
      <x:c r="D808" s="18" t="n">
        <x:v>1810.29</x:v>
      </x:c>
      <x:c r="E808" s="18" t="n">
        <x:v>1837.52</x:v>
      </x:c>
      <x:c r="F808" s="19" t="n">
        <x:v>89033</x:v>
      </x:c>
    </x:row>
    <x:row r="809">
      <x:c r="A809" s="17" t="n">
        <x:v>44215</x:v>
      </x:c>
      <x:c r="B809" s="18" t="n">
        <x:v>1838.41</x:v>
      </x:c>
      <x:c r="C809" s="18" t="n">
        <x:v>1845.51</x:v>
      </x:c>
      <x:c r="D809" s="18" t="n">
        <x:v>1833.12</x:v>
      </x:c>
      <x:c r="E809" s="18" t="n">
        <x:v>1839.63</x:v>
      </x:c>
      <x:c r="F809" s="19" t="n">
        <x:v>109648</x:v>
      </x:c>
    </x:row>
    <x:row r="810">
      <x:c r="A810" s="17" t="n">
        <x:v>44216</x:v>
      </x:c>
      <x:c r="B810" s="18" t="n">
        <x:v>1840.51</x:v>
      </x:c>
      <x:c r="C810" s="18" t="n">
        <x:v>1871.73</x:v>
      </x:c>
      <x:c r="D810" s="18" t="n">
        <x:v>1832.49</x:v>
      </x:c>
      <x:c r="E810" s="18" t="n">
        <x:v>1871.42</x:v>
      </x:c>
      <x:c r="F810" s="19" t="n">
        <x:v>125615</x:v>
      </x:c>
    </x:row>
    <x:row r="811">
      <x:c r="A811" s="17" t="n">
        <x:v>44217</x:v>
      </x:c>
      <x:c r="B811" s="18" t="n">
        <x:v>1871.58</x:v>
      </x:c>
      <x:c r="C811" s="18" t="n">
        <x:v>1875.01</x:v>
      </x:c>
      <x:c r="D811" s="18" t="n">
        <x:v>1858.32</x:v>
      </x:c>
      <x:c r="E811" s="18" t="n">
        <x:v>1869.8</x:v>
      </x:c>
      <x:c r="F811" s="19" t="n">
        <x:v>118950</x:v>
      </x:c>
    </x:row>
    <x:row r="812">
      <x:c r="A812" s="17" t="n">
        <x:v>44218</x:v>
      </x:c>
      <x:c r="B812" s="18" t="n">
        <x:v>1869.76</x:v>
      </x:c>
      <x:c r="C812" s="18" t="n">
        <x:v>1870.81</x:v>
      </x:c>
      <x:c r="D812" s="18" t="n">
        <x:v>1837.4</x:v>
      </x:c>
      <x:c r="E812" s="18" t="n">
        <x:v>1854.67</x:v>
      </x:c>
      <x:c r="F812" s="19" t="n">
        <x:v>132569</x:v>
      </x:c>
    </x:row>
    <x:row r="813">
      <x:c r="A813" s="17" t="n">
        <x:v>44221</x:v>
      </x:c>
      <x:c r="B813" s="18" t="n">
        <x:v>1858.02</x:v>
      </x:c>
      <x:c r="C813" s="18" t="n">
        <x:v>1867.93</x:v>
      </x:c>
      <x:c r="D813" s="18" t="n">
        <x:v>1847.11</x:v>
      </x:c>
      <x:c r="E813" s="18" t="n">
        <x:v>1855.94</x:v>
      </x:c>
      <x:c r="F813" s="19" t="n">
        <x:v>137306</x:v>
      </x:c>
    </x:row>
    <x:row r="814">
      <x:c r="A814" s="17" t="n">
        <x:v>44222</x:v>
      </x:c>
      <x:c r="B814" s="18" t="n">
        <x:v>1855.26</x:v>
      </x:c>
      <x:c r="C814" s="18" t="n">
        <x:v>1861.73</x:v>
      </x:c>
      <x:c r="D814" s="18" t="n">
        <x:v>1848.4</x:v>
      </x:c>
      <x:c r="E814" s="18" t="n">
        <x:v>1851.43</x:v>
      </x:c>
      <x:c r="F814" s="19" t="n">
        <x:v>110758</x:v>
      </x:c>
    </x:row>
    <x:row r="815">
      <x:c r="A815" s="17" t="n">
        <x:v>44223</x:v>
      </x:c>
      <x:c r="B815" s="18" t="n">
        <x:v>1851.58</x:v>
      </x:c>
      <x:c r="C815" s="18" t="n">
        <x:v>1853.11</x:v>
      </x:c>
      <x:c r="D815" s="18" t="n">
        <x:v>1831.35</x:v>
      </x:c>
      <x:c r="E815" s="18" t="n">
        <x:v>1843.83</x:v>
      </x:c>
      <x:c r="F815" s="19" t="n">
        <x:v>143666</x:v>
      </x:c>
    </x:row>
    <x:row r="816">
      <x:c r="A816" s="17" t="n">
        <x:v>44224</x:v>
      </x:c>
      <x:c r="B816" s="18" t="n">
        <x:v>1842.66</x:v>
      </x:c>
      <x:c r="C816" s="18" t="n">
        <x:v>1864</x:v>
      </x:c>
      <x:c r="D816" s="18" t="n">
        <x:v>1834</x:v>
      </x:c>
      <x:c r="E816" s="18" t="n">
        <x:v>1842.61</x:v>
      </x:c>
      <x:c r="F816" s="19" t="n">
        <x:v>171059</x:v>
      </x:c>
    </x:row>
    <x:row r="817">
      <x:c r="A817" s="17" t="n">
        <x:v>44225</x:v>
      </x:c>
      <x:c r="B817" s="18" t="n">
        <x:v>1843.12</x:v>
      </x:c>
      <x:c r="C817" s="18" t="n">
        <x:v>1875.69</x:v>
      </x:c>
      <x:c r="D817" s="18" t="n">
        <x:v>1839.59</x:v>
      </x:c>
      <x:c r="E817" s="18" t="n">
        <x:v>1847.59</x:v>
      </x:c>
      <x:c r="F817" s="19" t="n">
        <x:v>192328</x:v>
      </x:c>
    </x:row>
    <x:row r="818">
      <x:c r="A818" s="17" t="n">
        <x:v>44228</x:v>
      </x:c>
      <x:c r="B818" s="18" t="n">
        <x:v>1855.57</x:v>
      </x:c>
      <x:c r="C818" s="18" t="n">
        <x:v>1871.78</x:v>
      </x:c>
      <x:c r="D818" s="18" t="n">
        <x:v>1849.15</x:v>
      </x:c>
      <x:c r="E818" s="18" t="n">
        <x:v>1860.55</x:v>
      </x:c>
      <x:c r="F818" s="19" t="n">
        <x:v>220293</x:v>
      </x:c>
    </x:row>
    <x:row r="819">
      <x:c r="A819" s="17" t="n">
        <x:v>44229</x:v>
      </x:c>
      <x:c r="B819" s="18" t="n">
        <x:v>1859.37</x:v>
      </x:c>
      <x:c r="C819" s="18" t="n">
        <x:v>1864.05</x:v>
      </x:c>
      <x:c r="D819" s="18" t="n">
        <x:v>1829.53</x:v>
      </x:c>
      <x:c r="E819" s="18" t="n">
        <x:v>1837.65</x:v>
      </x:c>
      <x:c r="F819" s="19" t="n">
        <x:v>180506</x:v>
      </x:c>
    </x:row>
    <x:row r="820">
      <x:c r="A820" s="17" t="n">
        <x:v>44230</x:v>
      </x:c>
      <x:c r="B820" s="18" t="n">
        <x:v>1837.38</x:v>
      </x:c>
      <x:c r="C820" s="18" t="n">
        <x:v>1844.98</x:v>
      </x:c>
      <x:c r="D820" s="18" t="n">
        <x:v>1829.81</x:v>
      </x:c>
      <x:c r="E820" s="18" t="n">
        <x:v>1834.21</x:v>
      </x:c>
      <x:c r="F820" s="19" t="n">
        <x:v>128024</x:v>
      </x:c>
    </x:row>
    <x:row r="821">
      <x:c r="A821" s="17" t="n">
        <x:v>44231</x:v>
      </x:c>
      <x:c r="B821" s="18" t="n">
        <x:v>1834.12</x:v>
      </x:c>
      <x:c r="C821" s="18" t="n">
        <x:v>1834.74</x:v>
      </x:c>
      <x:c r="D821" s="18" t="n">
        <x:v>1784.9</x:v>
      </x:c>
      <x:c r="E821" s="18" t="n">
        <x:v>1793.12</x:v>
      </x:c>
      <x:c r="F821" s="19" t="n">
        <x:v>158695</x:v>
      </x:c>
    </x:row>
    <x:row r="822">
      <x:c r="A822" s="17" t="n">
        <x:v>44232</x:v>
      </x:c>
      <x:c r="B822" s="18" t="n">
        <x:v>1795.17</x:v>
      </x:c>
      <x:c r="C822" s="18" t="n">
        <x:v>1815.2</x:v>
      </x:c>
      <x:c r="D822" s="18" t="n">
        <x:v>1791.98</x:v>
      </x:c>
      <x:c r="E822" s="18" t="n">
        <x:v>1813.4</x:v>
      </x:c>
      <x:c r="F822" s="19" t="n">
        <x:v>127304</x:v>
      </x:c>
    </x:row>
    <x:row r="823">
      <x:c r="A823" s="17" t="n">
        <x:v>44235</x:v>
      </x:c>
      <x:c r="B823" s="18" t="n">
        <x:v>1817.35</x:v>
      </x:c>
      <x:c r="C823" s="18" t="n">
        <x:v>1839.19</x:v>
      </x:c>
      <x:c r="D823" s="18" t="n">
        <x:v>1807.77</x:v>
      </x:c>
      <x:c r="E823" s="18" t="n">
        <x:v>1830.13</x:v>
      </x:c>
      <x:c r="F823" s="19" t="n">
        <x:v>136422</x:v>
      </x:c>
    </x:row>
    <x:row r="824">
      <x:c r="A824" s="17" t="n">
        <x:v>44236</x:v>
      </x:c>
      <x:c r="B824" s="18" t="n">
        <x:v>1830.87</x:v>
      </x:c>
      <x:c r="C824" s="18" t="n">
        <x:v>1848.56</x:v>
      </x:c>
      <x:c r="D824" s="18" t="n">
        <x:v>1828.83</x:v>
      </x:c>
      <x:c r="E824" s="18" t="n">
        <x:v>1837.64</x:v>
      </x:c>
      <x:c r="F824" s="19" t="n">
        <x:v>123760</x:v>
      </x:c>
    </x:row>
    <x:row r="825">
      <x:c r="A825" s="17" t="n">
        <x:v>44237</x:v>
      </x:c>
      <x:c r="B825" s="18" t="n">
        <x:v>1838.59</x:v>
      </x:c>
      <x:c r="C825" s="18" t="n">
        <x:v>1855.31</x:v>
      </x:c>
      <x:c r="D825" s="18" t="n">
        <x:v>1834.05</x:v>
      </x:c>
      <x:c r="E825" s="18" t="n">
        <x:v>1842.35</x:v>
      </x:c>
      <x:c r="F825" s="19" t="n">
        <x:v>123670</x:v>
      </x:c>
    </x:row>
    <x:row r="826">
      <x:c r="A826" s="17" t="n">
        <x:v>44238</x:v>
      </x:c>
      <x:c r="B826" s="18" t="n">
        <x:v>1843.91</x:v>
      </x:c>
      <x:c r="C826" s="18" t="n">
        <x:v>1847.54</x:v>
      </x:c>
      <x:c r="D826" s="18" t="n">
        <x:v>1821.2</x:v>
      </x:c>
      <x:c r="E826" s="18" t="n">
        <x:v>1825.47</x:v>
      </x:c>
      <x:c r="F826" s="19" t="n">
        <x:v>105907</x:v>
      </x:c>
    </x:row>
    <x:row r="827">
      <x:c r="A827" s="17" t="n">
        <x:v>44239</x:v>
      </x:c>
      <x:c r="B827" s="18" t="n">
        <x:v>1826.11</x:v>
      </x:c>
      <x:c r="C827" s="18" t="n">
        <x:v>1830.68</x:v>
      </x:c>
      <x:c r="D827" s="18" t="n">
        <x:v>1810.52</x:v>
      </x:c>
      <x:c r="E827" s="18" t="n">
        <x:v>1824.17</x:v>
      </x:c>
      <x:c r="F827" s="19" t="n">
        <x:v>110731</x:v>
      </x:c>
    </x:row>
    <x:row r="828">
      <x:c r="A828" s="17" t="n">
        <x:v>44242</x:v>
      </x:c>
      <x:c r="B828" s="18" t="n">
        <x:v>1824.88</x:v>
      </x:c>
      <x:c r="C828" s="18" t="n">
        <x:v>1827.02</x:v>
      </x:c>
      <x:c r="D828" s="18" t="n">
        <x:v>1816.07</x:v>
      </x:c>
      <x:c r="E828" s="18" t="n">
        <x:v>1818.72</x:v>
      </x:c>
      <x:c r="F828" s="19" t="n">
        <x:v>71964</x:v>
      </x:c>
    </x:row>
    <x:row r="829">
      <x:c r="A829" s="17" t="n">
        <x:v>44243</x:v>
      </x:c>
      <x:c r="B829" s="18" t="n">
        <x:v>1819.62</x:v>
      </x:c>
      <x:c r="C829" s="18" t="n">
        <x:v>1826.42</x:v>
      </x:c>
      <x:c r="D829" s="18" t="n">
        <x:v>1789.48</x:v>
      </x:c>
      <x:c r="E829" s="18" t="n">
        <x:v>1794.56</x:v>
      </x:c>
      <x:c r="F829" s="19" t="n">
        <x:v>149750</x:v>
      </x:c>
    </x:row>
    <x:row r="830">
      <x:c r="A830" s="17" t="n">
        <x:v>44244</x:v>
      </x:c>
      <x:c r="B830" s="18" t="n">
        <x:v>1792.65</x:v>
      </x:c>
      <x:c r="C830" s="18" t="n">
        <x:v>1795.15</x:v>
      </x:c>
      <x:c r="D830" s="18" t="n">
        <x:v>1769.47</x:v>
      </x:c>
      <x:c r="E830" s="18" t="n">
        <x:v>1776.7</x:v>
      </x:c>
      <x:c r="F830" s="19" t="n">
        <x:v>153764</x:v>
      </x:c>
    </x:row>
    <x:row r="831">
      <x:c r="A831" s="17" t="n">
        <x:v>44245</x:v>
      </x:c>
      <x:c r="B831" s="18" t="n">
        <x:v>1776.95</x:v>
      </x:c>
      <x:c r="C831" s="18" t="n">
        <x:v>1789.62</x:v>
      </x:c>
      <x:c r="D831" s="18" t="n">
        <x:v>1768.42</x:v>
      </x:c>
      <x:c r="E831" s="18" t="n">
        <x:v>1775.44</x:v>
      </x:c>
      <x:c r="F831" s="19" t="n">
        <x:v>148265</x:v>
      </x:c>
    </x:row>
    <x:row r="832">
      <x:c r="A832" s="17" t="n">
        <x:v>44246</x:v>
      </x:c>
      <x:c r="B832" s="18" t="n">
        <x:v>1776.46</x:v>
      </x:c>
      <x:c r="C832" s="18" t="n">
        <x:v>1791.63</x:v>
      </x:c>
      <x:c r="D832" s="18" t="n">
        <x:v>1760.64</x:v>
      </x:c>
      <x:c r="E832" s="18" t="n">
        <x:v>1783.05</x:v>
      </x:c>
      <x:c r="F832" s="19" t="n">
        <x:v>159459</x:v>
      </x:c>
    </x:row>
    <x:row r="833">
      <x:c r="A833" s="17" t="n">
        <x:v>44249</x:v>
      </x:c>
      <x:c r="B833" s="18" t="n">
        <x:v>1786.78</x:v>
      </x:c>
      <x:c r="C833" s="18" t="n">
        <x:v>1812.69</x:v>
      </x:c>
      <x:c r="D833" s="18" t="n">
        <x:v>1780.68</x:v>
      </x:c>
      <x:c r="E833" s="18" t="n">
        <x:v>1809.04</x:v>
      </x:c>
      <x:c r="F833" s="19" t="n">
        <x:v>177046</x:v>
      </x:c>
    </x:row>
    <x:row r="834">
      <x:c r="A834" s="17" t="n">
        <x:v>44250</x:v>
      </x:c>
      <x:c r="B834" s="18" t="n">
        <x:v>1809.4</x:v>
      </x:c>
      <x:c r="C834" s="18" t="n">
        <x:v>1816.01</x:v>
      </x:c>
      <x:c r="D834" s="18" t="n">
        <x:v>1795.6</x:v>
      </x:c>
      <x:c r="E834" s="18" t="n">
        <x:v>1805.07</x:v>
      </x:c>
      <x:c r="F834" s="19" t="n">
        <x:v>158899</x:v>
      </x:c>
    </x:row>
    <x:row r="835">
      <x:c r="A835" s="17" t="n">
        <x:v>44251</x:v>
      </x:c>
      <x:c r="B835" s="18" t="n">
        <x:v>1806.6</x:v>
      </x:c>
      <x:c r="C835" s="18" t="n">
        <x:v>1813.94</x:v>
      </x:c>
      <x:c r="D835" s="18" t="n">
        <x:v>1783.63</x:v>
      </x:c>
      <x:c r="E835" s="18" t="n">
        <x:v>1805.33</x:v>
      </x:c>
      <x:c r="F835" s="19" t="n">
        <x:v>162824</x:v>
      </x:c>
    </x:row>
    <x:row r="836">
      <x:c r="A836" s="17" t="n">
        <x:v>44252</x:v>
      </x:c>
      <x:c r="B836" s="18" t="n">
        <x:v>1803.65</x:v>
      </x:c>
      <x:c r="C836" s="18" t="n">
        <x:v>1804.23</x:v>
      </x:c>
      <x:c r="D836" s="18" t="n">
        <x:v>1765.28</x:v>
      </x:c>
      <x:c r="E836" s="18" t="n">
        <x:v>1770.25</x:v>
      </x:c>
      <x:c r="F836" s="19" t="n">
        <x:v>225865</x:v>
      </x:c>
    </x:row>
    <x:row r="837">
      <x:c r="A837" s="17" t="n">
        <x:v>44253</x:v>
      </x:c>
      <x:c r="B837" s="18" t="n">
        <x:v>1772.25</x:v>
      </x:c>
      <x:c r="C837" s="18" t="n">
        <x:v>1775.76</x:v>
      </x:c>
      <x:c r="D837" s="18" t="n">
        <x:v>1717.18</x:v>
      </x:c>
      <x:c r="E837" s="18" t="n">
        <x:v>1733.84</x:v>
      </x:c>
      <x:c r="F837" s="19" t="n">
        <x:v>243495</x:v>
      </x:c>
    </x:row>
    <x:row r="838">
      <x:c r="A838" s="17" t="n">
        <x:v>44256</x:v>
      </x:c>
      <x:c r="B838" s="18" t="n">
        <x:v>1737.79</x:v>
      </x:c>
      <x:c r="C838" s="18" t="n">
        <x:v>1759.89</x:v>
      </x:c>
      <x:c r="D838" s="18" t="n">
        <x:v>1719.63</x:v>
      </x:c>
      <x:c r="E838" s="18" t="n">
        <x:v>1724.79</x:v>
      </x:c>
      <x:c r="F838" s="19" t="n">
        <x:v>188016</x:v>
      </x:c>
    </x:row>
    <x:row r="839">
      <x:c r="A839" s="17" t="n">
        <x:v>44257</x:v>
      </x:c>
      <x:c r="B839" s="18" t="n">
        <x:v>1723.03</x:v>
      </x:c>
      <x:c r="C839" s="18" t="n">
        <x:v>1738.77</x:v>
      </x:c>
      <x:c r="D839" s="18" t="n">
        <x:v>1707.2</x:v>
      </x:c>
      <x:c r="E839" s="18" t="n">
        <x:v>1738.77</x:v>
      </x:c>
      <x:c r="F839" s="19" t="n">
        <x:v>181720</x:v>
      </x:c>
    </x:row>
    <x:row r="840">
      <x:c r="A840" s="17" t="n">
        <x:v>44258</x:v>
      </x:c>
      <x:c r="B840" s="18" t="n">
        <x:v>1738.15</x:v>
      </x:c>
      <x:c r="C840" s="18" t="n">
        <x:v>1740.49</x:v>
      </x:c>
      <x:c r="D840" s="18" t="n">
        <x:v>1701.86</x:v>
      </x:c>
      <x:c r="E840" s="18" t="n">
        <x:v>1711.71</x:v>
      </x:c>
      <x:c r="F840" s="19" t="n">
        <x:v>175583</x:v>
      </x:c>
    </x:row>
    <x:row r="841">
      <x:c r="A841" s="17" t="n">
        <x:v>44259</x:v>
      </x:c>
      <x:c r="B841" s="18" t="n">
        <x:v>1710.88</x:v>
      </x:c>
      <x:c r="C841" s="18" t="n">
        <x:v>1723.19</x:v>
      </x:c>
      <x:c r="D841" s="18" t="n">
        <x:v>1690.54</x:v>
      </x:c>
      <x:c r="E841" s="18" t="n">
        <x:v>1698.6</x:v>
      </x:c>
      <x:c r="F841" s="19" t="n">
        <x:v>218170</x:v>
      </x:c>
    </x:row>
    <x:row r="842">
      <x:c r="A842" s="17" t="n">
        <x:v>44260</x:v>
      </x:c>
      <x:c r="B842" s="18" t="n">
        <x:v>1697.83</x:v>
      </x:c>
      <x:c r="C842" s="18" t="n">
        <x:v>1707.62</x:v>
      </x:c>
      <x:c r="D842" s="18" t="n">
        <x:v>1687.28</x:v>
      </x:c>
      <x:c r="E842" s="18" t="n">
        <x:v>1700.76</x:v>
      </x:c>
      <x:c r="F842" s="19" t="n">
        <x:v>192230</x:v>
      </x:c>
    </x:row>
    <x:row r="843">
      <x:c r="A843" s="17" t="n">
        <x:v>44263</x:v>
      </x:c>
      <x:c r="B843" s="18" t="n">
        <x:v>1706.24</x:v>
      </x:c>
      <x:c r="C843" s="18" t="n">
        <x:v>1714.29</x:v>
      </x:c>
      <x:c r="D843" s="18" t="n">
        <x:v>1676.82</x:v>
      </x:c>
      <x:c r="E843" s="18" t="n">
        <x:v>1682.53</x:v>
      </x:c>
      <x:c r="F843" s="19" t="n">
        <x:v>185032</x:v>
      </x:c>
    </x:row>
    <x:row r="844">
      <x:c r="A844" s="17" t="n">
        <x:v>44264</x:v>
      </x:c>
      <x:c r="B844" s="18" t="n">
        <x:v>1684.52</x:v>
      </x:c>
      <x:c r="C844" s="18" t="n">
        <x:v>1720.58</x:v>
      </x:c>
      <x:c r="D844" s="18" t="n">
        <x:v>1680.12</x:v>
      </x:c>
      <x:c r="E844" s="18" t="n">
        <x:v>1715.59</x:v>
      </x:c>
      <x:c r="F844" s="19" t="n">
        <x:v>160257</x:v>
      </x:c>
    </x:row>
    <x:row r="845">
      <x:c r="A845" s="17" t="n">
        <x:v>44265</x:v>
      </x:c>
      <x:c r="B845" s="18" t="n">
        <x:v>1715.33</x:v>
      </x:c>
      <x:c r="C845" s="18" t="n">
        <x:v>1726.57</x:v>
      </x:c>
      <x:c r="D845" s="18" t="n">
        <x:v>1708.2</x:v>
      </x:c>
      <x:c r="E845" s="18" t="n">
        <x:v>1726.33</x:v>
      </x:c>
      <x:c r="F845" s="19" t="n">
        <x:v>149898</x:v>
      </x:c>
    </x:row>
    <x:row r="846">
      <x:c r="A846" s="17" t="n">
        <x:v>44266</x:v>
      </x:c>
      <x:c r="B846" s="18" t="n">
        <x:v>1726.56</x:v>
      </x:c>
      <x:c r="C846" s="18" t="n">
        <x:v>1739.82</x:v>
      </x:c>
      <x:c r="D846" s="18" t="n">
        <x:v>1719.27</x:v>
      </x:c>
      <x:c r="E846" s="18" t="n">
        <x:v>1722.38</x:v>
      </x:c>
      <x:c r="F846" s="19" t="n">
        <x:v>142465</x:v>
      </x:c>
    </x:row>
    <x:row r="847">
      <x:c r="A847" s="17" t="n">
        <x:v>44267</x:v>
      </x:c>
      <x:c r="B847" s="18" t="n">
        <x:v>1721.63</x:v>
      </x:c>
      <x:c r="C847" s="18" t="n">
        <x:v>1727.96</x:v>
      </x:c>
      <x:c r="D847" s="18" t="n">
        <x:v>1699.21</x:v>
      </x:c>
      <x:c r="E847" s="18" t="n">
        <x:v>1726.92</x:v>
      </x:c>
      <x:c r="F847" s="19" t="n">
        <x:v>149733</x:v>
      </x:c>
    </x:row>
    <x:row r="848">
      <x:c r="A848" s="17" t="n">
        <x:v>44270</x:v>
      </x:c>
      <x:c r="B848" s="18" t="n">
        <x:v>1728.56</x:v>
      </x:c>
      <x:c r="C848" s="18" t="n">
        <x:v>1734.54</x:v>
      </x:c>
      <x:c r="D848" s="18" t="n">
        <x:v>1721.66</x:v>
      </x:c>
      <x:c r="E848" s="18" t="n">
        <x:v>1732.11</x:v>
      </x:c>
      <x:c r="F848" s="19" t="n">
        <x:v>132634</x:v>
      </x:c>
    </x:row>
    <x:row r="849">
      <x:c r="A849" s="17" t="n">
        <x:v>44271</x:v>
      </x:c>
      <x:c r="B849" s="18" t="n">
        <x:v>1731.86</x:v>
      </x:c>
      <x:c r="C849" s="18" t="n">
        <x:v>1741.21</x:v>
      </x:c>
      <x:c r="D849" s="18" t="n">
        <x:v>1726.25</x:v>
      </x:c>
      <x:c r="E849" s="18" t="n">
        <x:v>1731.85</x:v>
      </x:c>
      <x:c r="F849" s="19" t="n">
        <x:v>125856</x:v>
      </x:c>
    </x:row>
    <x:row r="850">
      <x:c r="A850" s="17" t="n">
        <x:v>44272</x:v>
      </x:c>
      <x:c r="B850" s="18" t="n">
        <x:v>1732.35</x:v>
      </x:c>
      <x:c r="C850" s="18" t="n">
        <x:v>1751.63</x:v>
      </x:c>
      <x:c r="D850" s="18" t="n">
        <x:v>1724.17</x:v>
      </x:c>
      <x:c r="E850" s="18" t="n">
        <x:v>1744.54</x:v>
      </x:c>
      <x:c r="F850" s="19" t="n">
        <x:v>136197</x:v>
      </x:c>
    </x:row>
    <x:row r="851">
      <x:c r="A851" s="17" t="n">
        <x:v>44273</x:v>
      </x:c>
      <x:c r="B851" s="18" t="n">
        <x:v>1748.74</x:v>
      </x:c>
      <x:c r="C851" s="18" t="n">
        <x:v>1755.46</x:v>
      </x:c>
      <x:c r="D851" s="18" t="n">
        <x:v>1719.25</x:v>
      </x:c>
      <x:c r="E851" s="18" t="n">
        <x:v>1736.49</x:v>
      </x:c>
      <x:c r="F851" s="19" t="n">
        <x:v>161388</x:v>
      </x:c>
    </x:row>
    <x:row r="852">
      <x:c r="A852" s="17" t="n">
        <x:v>44274</x:v>
      </x:c>
      <x:c r="B852" s="18" t="n">
        <x:v>1735.77</x:v>
      </x:c>
      <x:c r="C852" s="18" t="n">
        <x:v>1746.72</x:v>
      </x:c>
      <x:c r="D852" s="18" t="n">
        <x:v>1728.5</x:v>
      </x:c>
      <x:c r="E852" s="18" t="n">
        <x:v>1745.14</x:v>
      </x:c>
      <x:c r="F852" s="19" t="n">
        <x:v>139589</x:v>
      </x:c>
    </x:row>
    <x:row r="853">
      <x:c r="A853" s="17" t="n">
        <x:v>44277</x:v>
      </x:c>
      <x:c r="B853" s="18" t="n">
        <x:v>1743.8</x:v>
      </x:c>
      <x:c r="C853" s="18" t="n">
        <x:v>1744.33</x:v>
      </x:c>
      <x:c r="D853" s="18" t="n">
        <x:v>1727.39</x:v>
      </x:c>
      <x:c r="E853" s="18" t="n">
        <x:v>1738.68</x:v>
      </x:c>
      <x:c r="F853" s="19" t="n">
        <x:v>129700</x:v>
      </x:c>
    </x:row>
    <x:row r="854">
      <x:c r="A854" s="17" t="n">
        <x:v>44278</x:v>
      </x:c>
      <x:c r="B854" s="18" t="n">
        <x:v>1739.58</x:v>
      </x:c>
      <x:c r="C854" s="18" t="n">
        <x:v>1742.6</x:v>
      </x:c>
      <x:c r="D854" s="18" t="n">
        <x:v>1724.68</x:v>
      </x:c>
      <x:c r="E854" s="18" t="n">
        <x:v>1726.89</x:v>
      </x:c>
      <x:c r="F854" s="19" t="n">
        <x:v>126605</x:v>
      </x:c>
    </x:row>
    <x:row r="855">
      <x:c r="A855" s="17" t="n">
        <x:v>44279</x:v>
      </x:c>
      <x:c r="B855" s="18" t="n">
        <x:v>1727.15</x:v>
      </x:c>
      <x:c r="C855" s="18" t="n">
        <x:v>1738.47</x:v>
      </x:c>
      <x:c r="D855" s="18" t="n">
        <x:v>1723.79</x:v>
      </x:c>
      <x:c r="E855" s="18" t="n">
        <x:v>1733.83</x:v>
      </x:c>
      <x:c r="F855" s="19" t="n">
        <x:v>111264</x:v>
      </x:c>
    </x:row>
    <x:row r="856">
      <x:c r="A856" s="17" t="n">
        <x:v>44280</x:v>
      </x:c>
      <x:c r="B856" s="18" t="n">
        <x:v>1734.91</x:v>
      </x:c>
      <x:c r="C856" s="18" t="n">
        <x:v>1745.43</x:v>
      </x:c>
      <x:c r="D856" s="18" t="n">
        <x:v>1721.76</x:v>
      </x:c>
      <x:c r="E856" s="18" t="n">
        <x:v>1726.98</x:v>
      </x:c>
      <x:c r="F856" s="19" t="n">
        <x:v>131827</x:v>
      </x:c>
    </x:row>
    <x:row r="857">
      <x:c r="A857" s="17" t="n">
        <x:v>44281</x:v>
      </x:c>
      <x:c r="B857" s="18" t="n">
        <x:v>1727.94</x:v>
      </x:c>
      <x:c r="C857" s="18" t="n">
        <x:v>1736.65</x:v>
      </x:c>
      <x:c r="D857" s="18" t="n">
        <x:v>1721.63</x:v>
      </x:c>
      <x:c r="E857" s="18" t="n">
        <x:v>1732.7</x:v>
      </x:c>
      <x:c r="F857" s="19" t="n">
        <x:v>105918</x:v>
      </x:c>
    </x:row>
    <x:row r="858">
      <x:c r="A858" s="17" t="n">
        <x:v>44284</x:v>
      </x:c>
      <x:c r="B858" s="18" t="n">
        <x:v>1731.17</x:v>
      </x:c>
      <x:c r="C858" s="18" t="n">
        <x:v>1732.84</x:v>
      </x:c>
      <x:c r="D858" s="18" t="n">
        <x:v>1705.65</x:v>
      </x:c>
      <x:c r="E858" s="18" t="n">
        <x:v>1711.81</x:v>
      </x:c>
      <x:c r="F858" s="19" t="n">
        <x:v>109038</x:v>
      </x:c>
    </x:row>
    <x:row r="859">
      <x:c r="A859" s="17" t="n">
        <x:v>44285</x:v>
      </x:c>
      <x:c r="B859" s="18" t="n">
        <x:v>1712.68</x:v>
      </x:c>
      <x:c r="C859" s="18" t="n">
        <x:v>1714.36</x:v>
      </x:c>
      <x:c r="D859" s="18" t="n">
        <x:v>1678.77</x:v>
      </x:c>
      <x:c r="E859" s="18" t="n">
        <x:v>1685.06</x:v>
      </x:c>
      <x:c r="F859" s="19" t="n">
        <x:v>135333</x:v>
      </x:c>
    </x:row>
    <x:row r="860">
      <x:c r="A860" s="17" t="n">
        <x:v>44286</x:v>
      </x:c>
      <x:c r="B860" s="18" t="n">
        <x:v>1684.83</x:v>
      </x:c>
      <x:c r="C860" s="18" t="n">
        <x:v>1715.34</x:v>
      </x:c>
      <x:c r="D860" s="18" t="n">
        <x:v>1677.86</x:v>
      </x:c>
      <x:c r="E860" s="18" t="n">
        <x:v>1707.7</x:v>
      </x:c>
      <x:c r="F860" s="19" t="n">
        <x:v>130802</x:v>
      </x:c>
    </x:row>
    <x:row r="861">
      <x:c r="A861" s="17" t="n">
        <x:v>44287</x:v>
      </x:c>
      <x:c r="B861" s="18" t="n">
        <x:v>1707.4</x:v>
      </x:c>
      <x:c r="C861" s="18" t="n">
        <x:v>1730.4</x:v>
      </x:c>
      <x:c r="D861" s="18" t="n">
        <x:v>1705.76</x:v>
      </x:c>
      <x:c r="E861" s="18" t="n">
        <x:v>1729.49</x:v>
      </x:c>
      <x:c r="F861" s="19" t="n">
        <x:v>115912</x:v>
      </x:c>
    </x:row>
    <x:row r="862">
      <x:c r="A862" s="17" t="n">
        <x:v>44291</x:v>
      </x:c>
      <x:c r="B862" s="18" t="n">
        <x:v>1728.66</x:v>
      </x:c>
      <x:c r="C862" s="18" t="n">
        <x:v>1733.57</x:v>
      </x:c>
      <x:c r="D862" s="18" t="n">
        <x:v>1721.25</x:v>
      </x:c>
      <x:c r="E862" s="18" t="n">
        <x:v>1728.36</x:v>
      </x:c>
      <x:c r="F862" s="19" t="n">
        <x:v>88124</x:v>
      </x:c>
    </x:row>
    <x:row r="863">
      <x:c r="A863" s="17" t="n">
        <x:v>44292</x:v>
      </x:c>
      <x:c r="B863" s="18" t="n">
        <x:v>1728.71</x:v>
      </x:c>
      <x:c r="C863" s="18" t="n">
        <x:v>1745.47</x:v>
      </x:c>
      <x:c r="D863" s="18" t="n">
        <x:v>1727.16</x:v>
      </x:c>
      <x:c r="E863" s="18" t="n">
        <x:v>1743.06</x:v>
      </x:c>
      <x:c r="F863" s="19" t="n">
        <x:v>109667</x:v>
      </x:c>
    </x:row>
    <x:row r="864">
      <x:c r="A864" s="17" t="n">
        <x:v>44293</x:v>
      </x:c>
      <x:c r="B864" s="18" t="n">
        <x:v>1743.28</x:v>
      </x:c>
      <x:c r="C864" s="18" t="n">
        <x:v>1744.32</x:v>
      </x:c>
      <x:c r="D864" s="18" t="n">
        <x:v>1730.57</x:v>
      </x:c>
      <x:c r="E864" s="18" t="n">
        <x:v>1737.57</x:v>
      </x:c>
      <x:c r="F864" s="19" t="n">
        <x:v>103223</x:v>
      </x:c>
    </x:row>
    <x:row r="865">
      <x:c r="A865" s="17" t="n">
        <x:v>44294</x:v>
      </x:c>
      <x:c r="B865" s="18" t="n">
        <x:v>1737.56</x:v>
      </x:c>
      <x:c r="C865" s="18" t="n">
        <x:v>1758.66</x:v>
      </x:c>
      <x:c r="D865" s="18" t="n">
        <x:v>1733.14</x:v>
      </x:c>
      <x:c r="E865" s="18" t="n">
        <x:v>1756.14</x:v>
      </x:c>
      <x:c r="F865" s="19" t="n">
        <x:v>102546</x:v>
      </x:c>
    </x:row>
    <x:row r="866">
      <x:c r="A866" s="17" t="n">
        <x:v>44295</x:v>
      </x:c>
      <x:c r="B866" s="18" t="n">
        <x:v>1755.65</x:v>
      </x:c>
      <x:c r="C866" s="18" t="n">
        <x:v>1757.32</x:v>
      </x:c>
      <x:c r="D866" s="18" t="n">
        <x:v>1731.26</x:v>
      </x:c>
      <x:c r="E866" s="18" t="n">
        <x:v>1743.46</x:v>
      </x:c>
      <x:c r="F866" s="19" t="n">
        <x:v>110017</x:v>
      </x:c>
    </x:row>
    <x:row r="867">
      <x:c r="A867" s="17" t="n">
        <x:v>44298</x:v>
      </x:c>
      <x:c r="B867" s="18" t="n">
        <x:v>1742.71</x:v>
      </x:c>
      <x:c r="C867" s="18" t="n">
        <x:v>1745</x:v>
      </x:c>
      <x:c r="D867" s="18" t="n">
        <x:v>1727.48</x:v>
      </x:c>
      <x:c r="E867" s="18" t="n">
        <x:v>1732.34</x:v>
      </x:c>
      <x:c r="F867" s="19" t="n">
        <x:v>110257</x:v>
      </x:c>
    </x:row>
    <x:row r="868">
      <x:c r="A868" s="17" t="n">
        <x:v>44299</x:v>
      </x:c>
      <x:c r="B868" s="18" t="n">
        <x:v>1733.23</x:v>
      </x:c>
      <x:c r="C868" s="18" t="n">
        <x:v>1748.99</x:v>
      </x:c>
      <x:c r="D868" s="18" t="n">
        <x:v>1723.7</x:v>
      </x:c>
      <x:c r="E868" s="18" t="n">
        <x:v>1745.39</x:v>
      </x:c>
      <x:c r="F868" s="19" t="n">
        <x:v>122156</x:v>
      </x:c>
    </x:row>
    <x:row r="869">
      <x:c r="A869" s="17" t="n">
        <x:v>44300</x:v>
      </x:c>
      <x:c r="B869" s="18" t="n">
        <x:v>1745.66</x:v>
      </x:c>
      <x:c r="C869" s="18" t="n">
        <x:v>1749.31</x:v>
      </x:c>
      <x:c r="D869" s="18" t="n">
        <x:v>1732.58</x:v>
      </x:c>
      <x:c r="E869" s="18" t="n">
        <x:v>1736.25</x:v>
      </x:c>
      <x:c r="F869" s="19" t="n">
        <x:v>106297</x:v>
      </x:c>
    </x:row>
    <x:row r="870">
      <x:c r="A870" s="17" t="n">
        <x:v>44301</x:v>
      </x:c>
      <x:c r="B870" s="18" t="n">
        <x:v>1736.26</x:v>
      </x:c>
      <x:c r="C870" s="18" t="n">
        <x:v>1769.68</x:v>
      </x:c>
      <x:c r="D870" s="18" t="n">
        <x:v>1734.35</x:v>
      </x:c>
      <x:c r="E870" s="18" t="n">
        <x:v>1763.5</x:v>
      </x:c>
      <x:c r="F870" s="19" t="n">
        <x:v>103270</x:v>
      </x:c>
    </x:row>
    <x:row r="871">
      <x:c r="A871" s="17" t="n">
        <x:v>44302</x:v>
      </x:c>
      <x:c r="B871" s="18" t="n">
        <x:v>1763.97</x:v>
      </x:c>
      <x:c r="C871" s="18" t="n">
        <x:v>1783.79</x:v>
      </x:c>
      <x:c r="D871" s="18" t="n">
        <x:v>1759.72</x:v>
      </x:c>
      <x:c r="E871" s="18" t="n">
        <x:v>1776.67</x:v>
      </x:c>
      <x:c r="F871" s="19" t="n">
        <x:v>100215</x:v>
      </x:c>
    </x:row>
    <x:row r="872">
      <x:c r="A872" s="17" t="n">
        <x:v>44305</x:v>
      </x:c>
      <x:c r="B872" s="18" t="n">
        <x:v>1775.67</x:v>
      </x:c>
      <x:c r="C872" s="18" t="n">
        <x:v>1790.03</x:v>
      </x:c>
      <x:c r="D872" s="18" t="n">
        <x:v>1766.76</x:v>
      </x:c>
      <x:c r="E872" s="18" t="n">
        <x:v>1770.78</x:v>
      </x:c>
      <x:c r="F872" s="19" t="n">
        <x:v>113432</x:v>
      </x:c>
    </x:row>
    <x:row r="873">
      <x:c r="A873" s="17" t="n">
        <x:v>44306</x:v>
      </x:c>
      <x:c r="B873" s="18" t="n">
        <x:v>1770.9</x:v>
      </x:c>
      <x:c r="C873" s="18" t="n">
        <x:v>1780.41</x:v>
      </x:c>
      <x:c r="D873" s="18" t="n">
        <x:v>1763.53</x:v>
      </x:c>
      <x:c r="E873" s="18" t="n">
        <x:v>1778.55</x:v>
      </x:c>
      <x:c r="F873" s="19" t="n">
        <x:v>110180</x:v>
      </x:c>
    </x:row>
    <x:row r="874">
      <x:c r="A874" s="17" t="n">
        <x:v>44307</x:v>
      </x:c>
      <x:c r="B874" s="18" t="n">
        <x:v>1778.16</x:v>
      </x:c>
      <x:c r="C874" s="18" t="n">
        <x:v>1797.63</x:v>
      </x:c>
      <x:c r="D874" s="18" t="n">
        <x:v>1776.24</x:v>
      </x:c>
      <x:c r="E874" s="18" t="n">
        <x:v>1793.92</x:v>
      </x:c>
      <x:c r="F874" s="19" t="n">
        <x:v>102562</x:v>
      </x:c>
    </x:row>
    <x:row r="875">
      <x:c r="A875" s="17" t="n">
        <x:v>44308</x:v>
      </x:c>
      <x:c r="B875" s="18" t="n">
        <x:v>1793.95</x:v>
      </x:c>
      <x:c r="C875" s="18" t="n">
        <x:v>1797.88</x:v>
      </x:c>
      <x:c r="D875" s="18" t="n">
        <x:v>1777.45</x:v>
      </x:c>
      <x:c r="E875" s="18" t="n">
        <x:v>1784.36</x:v>
      </x:c>
      <x:c r="F875" s="19" t="n">
        <x:v>104081</x:v>
      </x:c>
    </x:row>
    <x:row r="876">
      <x:c r="A876" s="17" t="n">
        <x:v>44309</x:v>
      </x:c>
      <x:c r="B876" s="18" t="n">
        <x:v>1784.16</x:v>
      </x:c>
      <x:c r="C876" s="18" t="n">
        <x:v>1795.95</x:v>
      </x:c>
      <x:c r="D876" s="18" t="n">
        <x:v>1770.01</x:v>
      </x:c>
      <x:c r="E876" s="18" t="n">
        <x:v>1776.48</x:v>
      </x:c>
      <x:c r="F876" s="19" t="n">
        <x:v>102335</x:v>
      </x:c>
    </x:row>
    <x:row r="877">
      <x:c r="A877" s="17" t="n">
        <x:v>44312</x:v>
      </x:c>
      <x:c r="B877" s="18" t="n">
        <x:v>1775.48</x:v>
      </x:c>
      <x:c r="C877" s="18" t="n">
        <x:v>1783.5</x:v>
      </x:c>
      <x:c r="D877" s="18" t="n">
        <x:v>1768.84</x:v>
      </x:c>
      <x:c r="E877" s="18" t="n">
        <x:v>1781.39</x:v>
      </x:c>
      <x:c r="F877" s="19" t="n">
        <x:v>95870</x:v>
      </x:c>
    </x:row>
    <x:row r="878">
      <x:c r="A878" s="17" t="n">
        <x:v>44313</x:v>
      </x:c>
      <x:c r="B878" s="18" t="n">
        <x:v>1781.27</x:v>
      </x:c>
      <x:c r="C878" s="18" t="n">
        <x:v>1785.55</x:v>
      </x:c>
      <x:c r="D878" s="18" t="n">
        <x:v>1773.76</x:v>
      </x:c>
      <x:c r="E878" s="18" t="n">
        <x:v>1776.7</x:v>
      </x:c>
      <x:c r="F878" s="19" t="n">
        <x:v>90326</x:v>
      </x:c>
    </x:row>
    <x:row r="879">
      <x:c r="A879" s="17" t="n">
        <x:v>44314</x:v>
      </x:c>
      <x:c r="B879" s="18" t="n">
        <x:v>1776.99</x:v>
      </x:c>
      <x:c r="C879" s="18" t="n">
        <x:v>1782.54</x:v>
      </x:c>
      <x:c r="D879" s="18" t="n">
        <x:v>1762.62</x:v>
      </x:c>
      <x:c r="E879" s="18" t="n">
        <x:v>1781.47</x:v>
      </x:c>
      <x:c r="F879" s="19" t="n">
        <x:v>104594</x:v>
      </x:c>
    </x:row>
    <x:row r="880">
      <x:c r="A880" s="17" t="n">
        <x:v>44315</x:v>
      </x:c>
      <x:c r="B880" s="18" t="n">
        <x:v>1781.96</x:v>
      </x:c>
      <x:c r="C880" s="18" t="n">
        <x:v>1789.98</x:v>
      </x:c>
      <x:c r="D880" s="18" t="n">
        <x:v>1756.19</x:v>
      </x:c>
      <x:c r="E880" s="18" t="n">
        <x:v>1772.28</x:v>
      </x:c>
      <x:c r="F880" s="19" t="n">
        <x:v>105898</x:v>
      </x:c>
    </x:row>
    <x:row r="881">
      <x:c r="A881" s="17" t="n">
        <x:v>44316</x:v>
      </x:c>
      <x:c r="B881" s="18" t="n">
        <x:v>1772.61</x:v>
      </x:c>
      <x:c r="C881" s="18" t="n">
        <x:v>1773.62</x:v>
      </x:c>
      <x:c r="D881" s="18" t="n">
        <x:v>1764.24</x:v>
      </x:c>
      <x:c r="E881" s="18" t="n">
        <x:v>1768.97</x:v>
      </x:c>
      <x:c r="F881" s="19" t="n">
        <x:v>97490</x:v>
      </x:c>
    </x:row>
    <x:row r="882">
      <x:c r="A882" s="17" t="n">
        <x:v>44319</x:v>
      </x:c>
      <x:c r="B882" s="18" t="n">
        <x:v>1766.81</x:v>
      </x:c>
      <x:c r="C882" s="18" t="n">
        <x:v>1797.91</x:v>
      </x:c>
      <x:c r="D882" s="18" t="n">
        <x:v>1766.04</x:v>
      </x:c>
      <x:c r="E882" s="18" t="n">
        <x:v>1793.04</x:v>
      </x:c>
      <x:c r="F882" s="19" t="n">
        <x:v>90768</x:v>
      </x:c>
    </x:row>
    <x:row r="883">
      <x:c r="A883" s="17" t="n">
        <x:v>44320</x:v>
      </x:c>
      <x:c r="B883" s="18" t="n">
        <x:v>1792.58</x:v>
      </x:c>
      <x:c r="C883" s="18" t="n">
        <x:v>1799.09</x:v>
      </x:c>
      <x:c r="D883" s="18" t="n">
        <x:v>1771.01</x:v>
      </x:c>
      <x:c r="E883" s="18" t="n">
        <x:v>1779.28</x:v>
      </x:c>
      <x:c r="F883" s="19" t="n">
        <x:v>107458</x:v>
      </x:c>
    </x:row>
    <x:row r="884">
      <x:c r="A884" s="17" t="n">
        <x:v>44321</x:v>
      </x:c>
      <x:c r="B884" s="18" t="n">
        <x:v>1778.34</x:v>
      </x:c>
      <x:c r="C884" s="18" t="n">
        <x:v>1787.97</x:v>
      </x:c>
      <x:c r="D884" s="18" t="n">
        <x:v>1770.49</x:v>
      </x:c>
      <x:c r="E884" s="18" t="n">
        <x:v>1787.66</x:v>
      </x:c>
      <x:c r="F884" s="19" t="n">
        <x:v>86898</x:v>
      </x:c>
    </x:row>
    <x:row r="885">
      <x:c r="A885" s="17" t="n">
        <x:v>44322</x:v>
      </x:c>
      <x:c r="B885" s="18" t="n">
        <x:v>1786.8</x:v>
      </x:c>
      <x:c r="C885" s="18" t="n">
        <x:v>1818.12</x:v>
      </x:c>
      <x:c r="D885" s="18" t="n">
        <x:v>1782</x:v>
      </x:c>
      <x:c r="E885" s="18" t="n">
        <x:v>1815.22</x:v>
      </x:c>
      <x:c r="F885" s="19" t="n">
        <x:v>110093</x:v>
      </x:c>
    </x:row>
    <x:row r="886">
      <x:c r="A886" s="17" t="n">
        <x:v>44323</x:v>
      </x:c>
      <x:c r="B886" s="18" t="n">
        <x:v>1814.64</x:v>
      </x:c>
      <x:c r="C886" s="18" t="n">
        <x:v>1843.3</x:v>
      </x:c>
      <x:c r="D886" s="18" t="n">
        <x:v>1812.85</x:v>
      </x:c>
      <x:c r="E886" s="18" t="n">
        <x:v>1830.85</x:v>
      </x:c>
      <x:c r="F886" s="19" t="n">
        <x:v>126630</x:v>
      </x:c>
    </x:row>
    <x:row r="887">
      <x:c r="A887" s="17" t="n">
        <x:v>44326</x:v>
      </x:c>
      <x:c r="B887" s="18" t="n">
        <x:v>1833.04</x:v>
      </x:c>
      <x:c r="C887" s="18" t="n">
        <x:v>1845.49</x:v>
      </x:c>
      <x:c r="D887" s="18" t="n">
        <x:v>1829.97</x:v>
      </x:c>
      <x:c r="E887" s="18" t="n">
        <x:v>1835.54</x:v>
      </x:c>
      <x:c r="F887" s="19" t="n">
        <x:v>124892</x:v>
      </x:c>
    </x:row>
    <x:row r="888">
      <x:c r="A888" s="17" t="n">
        <x:v>44327</x:v>
      </x:c>
      <x:c r="B888" s="18" t="n">
        <x:v>1836.07</x:v>
      </x:c>
      <x:c r="C888" s="18" t="n">
        <x:v>1841.8</x:v>
      </x:c>
      <x:c r="D888" s="18" t="n">
        <x:v>1818.09</x:v>
      </x:c>
      <x:c r="E888" s="18" t="n">
        <x:v>1836.8</x:v>
      </x:c>
      <x:c r="F888" s="19" t="n">
        <x:v>120851</x:v>
      </x:c>
    </x:row>
    <x:row r="889">
      <x:c r="A889" s="17" t="n">
        <x:v>44328</x:v>
      </x:c>
      <x:c r="B889" s="18" t="n">
        <x:v>1836.83</x:v>
      </x:c>
      <x:c r="C889" s="18" t="n">
        <x:v>1843.68</x:v>
      </x:c>
      <x:c r="D889" s="18" t="n">
        <x:v>1813.24</x:v>
      </x:c>
      <x:c r="E889" s="18" t="n">
        <x:v>1816.11</x:v>
      </x:c>
      <x:c r="F889" s="19" t="n">
        <x:v>137693</x:v>
      </x:c>
    </x:row>
    <x:row r="890">
      <x:c r="A890" s="17" t="n">
        <x:v>44329</x:v>
      </x:c>
      <x:c r="B890" s="18" t="n">
        <x:v>1814.87</x:v>
      </x:c>
      <x:c r="C890" s="18" t="n">
        <x:v>1828.8</x:v>
      </x:c>
      <x:c r="D890" s="18" t="n">
        <x:v>1808.77</x:v>
      </x:c>
      <x:c r="E890" s="18" t="n">
        <x:v>1826.93</x:v>
      </x:c>
      <x:c r="F890" s="19" t="n">
        <x:v>122267</x:v>
      </x:c>
    </x:row>
    <x:row r="891">
      <x:c r="A891" s="17" t="n">
        <x:v>44330</x:v>
      </x:c>
      <x:c r="B891" s="18" t="n">
        <x:v>1827.12</x:v>
      </x:c>
      <x:c r="C891" s="18" t="n">
        <x:v>1845.93</x:v>
      </x:c>
      <x:c r="D891" s="18" t="n">
        <x:v>1819.77</x:v>
      </x:c>
      <x:c r="E891" s="18" t="n">
        <x:v>1842.56</x:v>
      </x:c>
      <x:c r="F891" s="19" t="n">
        <x:v>101155</x:v>
      </x:c>
    </x:row>
    <x:row r="892">
      <x:c r="A892" s="17" t="n">
        <x:v>44333</x:v>
      </x:c>
      <x:c r="B892" s="18" t="n">
        <x:v>1843.52</x:v>
      </x:c>
      <x:c r="C892" s="18" t="n">
        <x:v>1868.41</x:v>
      </x:c>
      <x:c r="D892" s="18" t="n">
        <x:v>1843.52</x:v>
      </x:c>
      <x:c r="E892" s="18" t="n">
        <x:v>1866.65</x:v>
      </x:c>
      <x:c r="F892" s="19" t="n">
        <x:v>105152</x:v>
      </x:c>
    </x:row>
    <x:row r="893">
      <x:c r="A893" s="17" t="n">
        <x:v>44334</x:v>
      </x:c>
      <x:c r="B893" s="18" t="n">
        <x:v>1866.69</x:v>
      </x:c>
      <x:c r="C893" s="18" t="n">
        <x:v>1875.03</x:v>
      </x:c>
      <x:c r="D893" s="18" t="n">
        <x:v>1863.2</x:v>
      </x:c>
      <x:c r="E893" s="18" t="n">
        <x:v>1869.64</x:v>
      </x:c>
      <x:c r="F893" s="19" t="n">
        <x:v>95130</x:v>
      </x:c>
    </x:row>
    <x:row r="894">
      <x:c r="A894" s="17" t="n">
        <x:v>44335</x:v>
      </x:c>
      <x:c r="B894" s="18" t="n">
        <x:v>1869.12</x:v>
      </x:c>
      <x:c r="C894" s="18" t="n">
        <x:v>1890.09</x:v>
      </x:c>
      <x:c r="D894" s="18" t="n">
        <x:v>1852.23</x:v>
      </x:c>
      <x:c r="E894" s="18" t="n">
        <x:v>1870.15</x:v>
      </x:c>
      <x:c r="F894" s="19" t="n">
        <x:v>155875</x:v>
      </x:c>
    </x:row>
    <x:row r="895">
      <x:c r="A895" s="17" t="n">
        <x:v>44336</x:v>
      </x:c>
      <x:c r="B895" s="18" t="n">
        <x:v>1870.06</x:v>
      </x:c>
      <x:c r="C895" s="18" t="n">
        <x:v>1883.94</x:v>
      </x:c>
      <x:c r="D895" s="18" t="n">
        <x:v>1863.86</x:v>
      </x:c>
      <x:c r="E895" s="18" t="n">
        <x:v>1877.28</x:v>
      </x:c>
      <x:c r="F895" s="19" t="n">
        <x:v>147676</x:v>
      </x:c>
    </x:row>
    <x:row r="896">
      <x:c r="A896" s="17" t="n">
        <x:v>44337</x:v>
      </x:c>
      <x:c r="B896" s="18" t="n">
        <x:v>1877.79</x:v>
      </x:c>
      <x:c r="C896" s="18" t="n">
        <x:v>1889.41</x:v>
      </x:c>
      <x:c r="D896" s="18" t="n">
        <x:v>1870.1</x:v>
      </x:c>
      <x:c r="E896" s="18" t="n">
        <x:v>1881.74</x:v>
      </x:c>
      <x:c r="F896" s="19" t="n">
        <x:v>139975</x:v>
      </x:c>
    </x:row>
    <x:row r="897">
      <x:c r="A897" s="17" t="n">
        <x:v>44340</x:v>
      </x:c>
      <x:c r="B897" s="18" t="n">
        <x:v>1881.41</x:v>
      </x:c>
      <x:c r="C897" s="18" t="n">
        <x:v>1887.02</x:v>
      </x:c>
      <x:c r="D897" s="18" t="n">
        <x:v>1875.17</x:v>
      </x:c>
      <x:c r="E897" s="18" t="n">
        <x:v>1881.35</x:v>
      </x:c>
      <x:c r="F897" s="19" t="n">
        <x:v>128610</x:v>
      </x:c>
    </x:row>
    <x:row r="898">
      <x:c r="A898" s="17" t="n">
        <x:v>44341</x:v>
      </x:c>
      <x:c r="B898" s="18" t="n">
        <x:v>1880.78</x:v>
      </x:c>
      <x:c r="C898" s="18" t="n">
        <x:v>1900.21</x:v>
      </x:c>
      <x:c r="D898" s="18" t="n">
        <x:v>1872.71</x:v>
      </x:c>
      <x:c r="E898" s="18" t="n">
        <x:v>1899.18</x:v>
      </x:c>
      <x:c r="F898" s="19" t="n">
        <x:v>121916</x:v>
      </x:c>
    </x:row>
    <x:row r="899">
      <x:c r="A899" s="17" t="n">
        <x:v>44342</x:v>
      </x:c>
      <x:c r="B899" s="18" t="n">
        <x:v>1898.77</x:v>
      </x:c>
      <x:c r="C899" s="18" t="n">
        <x:v>1912.74</x:v>
      </x:c>
      <x:c r="D899" s="18" t="n">
        <x:v>1890.77</x:v>
      </x:c>
      <x:c r="E899" s="18" t="n">
        <x:v>1896.5</x:v>
      </x:c>
      <x:c r="F899" s="19" t="n">
        <x:v>122351</x:v>
      </x:c>
    </x:row>
    <x:row r="900">
      <x:c r="A900" s="17" t="n">
        <x:v>44343</x:v>
      </x:c>
      <x:c r="B900" s="18" t="n">
        <x:v>1896.45</x:v>
      </x:c>
      <x:c r="C900" s="18" t="n">
        <x:v>1903.67</x:v>
      </x:c>
      <x:c r="D900" s="18" t="n">
        <x:v>1888.28</x:v>
      </x:c>
      <x:c r="E900" s="18" t="n">
        <x:v>1896.43</x:v>
      </x:c>
      <x:c r="F900" s="19" t="n">
        <x:v>124764</x:v>
      </x:c>
    </x:row>
    <x:row r="901">
      <x:c r="A901" s="17" t="n">
        <x:v>44344</x:v>
      </x:c>
      <x:c r="B901" s="18" t="n">
        <x:v>1897.4</x:v>
      </x:c>
      <x:c r="C901" s="18" t="n">
        <x:v>1905.95</x:v>
      </x:c>
      <x:c r="D901" s="18" t="n">
        <x:v>1882.27</x:v>
      </x:c>
      <x:c r="E901" s="18" t="n">
        <x:v>1903.18</x:v>
      </x:c>
      <x:c r="F901" s="19" t="n">
        <x:v>131825</x:v>
      </x:c>
    </x:row>
    <x:row r="902">
      <x:c r="A902" s="17" t="n">
        <x:v>44347</x:v>
      </x:c>
      <x:c r="B902" s="18" t="n">
        <x:v>1903.74</x:v>
      </x:c>
      <x:c r="C902" s="18" t="n">
        <x:v>1910.65</x:v>
      </x:c>
      <x:c r="D902" s="18" t="n">
        <x:v>1902.14</x:v>
      </x:c>
      <x:c r="E902" s="18" t="n">
        <x:v>1906.62</x:v>
      </x:c>
      <x:c r="F902" s="19" t="n">
        <x:v>68155</x:v>
      </x:c>
    </x:row>
    <x:row r="903">
      <x:c r="A903" s="17" t="n">
        <x:v>44348</x:v>
      </x:c>
      <x:c r="B903" s="18" t="n">
        <x:v>1907.26</x:v>
      </x:c>
      <x:c r="C903" s="18" t="n">
        <x:v>1916.58</x:v>
      </x:c>
      <x:c r="D903" s="18" t="n">
        <x:v>1892.37</x:v>
      </x:c>
      <x:c r="E903" s="18" t="n">
        <x:v>1899.87</x:v>
      </x:c>
      <x:c r="F903" s="19" t="n">
        <x:v>123400</x:v>
      </x:c>
    </x:row>
    <x:row r="904">
      <x:c r="A904" s="17" t="n">
        <x:v>44349</x:v>
      </x:c>
      <x:c r="B904" s="18" t="n">
        <x:v>1899.65</x:v>
      </x:c>
      <x:c r="C904" s="18" t="n">
        <x:v>1909.09</x:v>
      </x:c>
      <x:c r="D904" s="18" t="n">
        <x:v>1894.37</x:v>
      </x:c>
      <x:c r="E904" s="18" t="n">
        <x:v>1908.66</x:v>
      </x:c>
      <x:c r="F904" s="19" t="n">
        <x:v>106790</x:v>
      </x:c>
    </x:row>
    <x:row r="905">
      <x:c r="A905" s="17" t="n">
        <x:v>44350</x:v>
      </x:c>
      <x:c r="B905" s="18" t="n">
        <x:v>1908.45</x:v>
      </x:c>
      <x:c r="C905" s="18" t="n">
        <x:v>1909.64</x:v>
      </x:c>
      <x:c r="D905" s="18" t="n">
        <x:v>1865.37</x:v>
      </x:c>
      <x:c r="E905" s="18" t="n">
        <x:v>1870.7</x:v>
      </x:c>
      <x:c r="F905" s="19" t="n">
        <x:v>132560</x:v>
      </x:c>
    </x:row>
    <x:row r="906">
      <x:c r="A906" s="17" t="n">
        <x:v>44351</x:v>
      </x:c>
      <x:c r="B906" s="18" t="n">
        <x:v>1871.33</x:v>
      </x:c>
      <x:c r="C906" s="18" t="n">
        <x:v>1896.14</x:v>
      </x:c>
      <x:c r="D906" s="18" t="n">
        <x:v>1855.5</x:v>
      </x:c>
      <x:c r="E906" s="18" t="n">
        <x:v>1891.51</x:v>
      </x:c>
      <x:c r="F906" s="19" t="n">
        <x:v>127130</x:v>
      </x:c>
    </x:row>
    <x:row r="907">
      <x:c r="A907" s="17" t="n">
        <x:v>44354</x:v>
      </x:c>
      <x:c r="B907" s="18" t="n">
        <x:v>1890.19</x:v>
      </x:c>
      <x:c r="C907" s="18" t="n">
        <x:v>1900.13</x:v>
      </x:c>
      <x:c r="D907" s="18" t="n">
        <x:v>1881.57</x:v>
      </x:c>
      <x:c r="E907" s="18" t="n">
        <x:v>1898.78</x:v>
      </x:c>
      <x:c r="F907" s="19" t="n">
        <x:v>104532</x:v>
      </x:c>
    </x:row>
    <x:row r="908">
      <x:c r="A908" s="17" t="n">
        <x:v>44355</x:v>
      </x:c>
      <x:c r="B908" s="18" t="n">
        <x:v>1899.1</x:v>
      </x:c>
      <x:c r="C908" s="18" t="n">
        <x:v>1903.67</x:v>
      </x:c>
      <x:c r="D908" s="18" t="n">
        <x:v>1883.84</x:v>
      </x:c>
      <x:c r="E908" s="18" t="n">
        <x:v>1893.06</x:v>
      </x:c>
      <x:c r="F908" s="19" t="n">
        <x:v>105052</x:v>
      </x:c>
    </x:row>
    <x:row r="909">
      <x:c r="A909" s="17" t="n">
        <x:v>44356</x:v>
      </x:c>
      <x:c r="B909" s="18" t="n">
        <x:v>1891.72</x:v>
      </x:c>
      <x:c r="C909" s="18" t="n">
        <x:v>1898.95</x:v>
      </x:c>
      <x:c r="D909" s="18" t="n">
        <x:v>1887.33</x:v>
      </x:c>
      <x:c r="E909" s="18" t="n">
        <x:v>1888.89</x:v>
      </x:c>
      <x:c r="F909" s="19" t="n">
        <x:v>97129</x:v>
      </x:c>
    </x:row>
    <x:row r="910">
      <x:c r="A910" s="17" t="n">
        <x:v>44357</x:v>
      </x:c>
      <x:c r="B910" s="18" t="n">
        <x:v>1888.89</x:v>
      </x:c>
      <x:c r="C910" s="18" t="n">
        <x:v>1899.86</x:v>
      </x:c>
      <x:c r="D910" s="18" t="n">
        <x:v>1869.84</x:v>
      </x:c>
      <x:c r="E910" s="18" t="n">
        <x:v>1899.64</x:v>
      </x:c>
      <x:c r="F910" s="19" t="n">
        <x:v>126781</x:v>
      </x:c>
    </x:row>
    <x:row r="911">
      <x:c r="A911" s="17" t="n">
        <x:v>44358</x:v>
      </x:c>
      <x:c r="B911" s="18" t="n">
        <x:v>1898.15</x:v>
      </x:c>
      <x:c r="C911" s="18" t="n">
        <x:v>1903.03</x:v>
      </x:c>
      <x:c r="D911" s="18" t="n">
        <x:v>1874.44</x:v>
      </x:c>
      <x:c r="E911" s="18" t="n">
        <x:v>1876.16</x:v>
      </x:c>
      <x:c r="F911" s="19" t="n">
        <x:v>118817</x:v>
      </x:c>
    </x:row>
    <x:row r="912">
      <x:c r="A912" s="17" t="n">
        <x:v>44361</x:v>
      </x:c>
      <x:c r="B912" s="18" t="n">
        <x:v>1876.07</x:v>
      </x:c>
      <x:c r="C912" s="18" t="n">
        <x:v>1877.62</x:v>
      </x:c>
      <x:c r="D912" s="18" t="n">
        <x:v>1844.77</x:v>
      </x:c>
      <x:c r="E912" s="18" t="n">
        <x:v>1866.31</x:v>
      </x:c>
      <x:c r="F912" s="19" t="n">
        <x:v>118581</x:v>
      </x:c>
    </x:row>
    <x:row r="913">
      <x:c r="A913" s="17" t="n">
        <x:v>44362</x:v>
      </x:c>
      <x:c r="B913" s="18" t="n">
        <x:v>1867.53</x:v>
      </x:c>
      <x:c r="C913" s="18" t="n">
        <x:v>1869.16</x:v>
      </x:c>
      <x:c r="D913" s="18" t="n">
        <x:v>1851.65</x:v>
      </x:c>
      <x:c r="E913" s="18" t="n">
        <x:v>1858.89</x:v>
      </x:c>
      <x:c r="F913" s="19" t="n">
        <x:v>94645</x:v>
      </x:c>
    </x:row>
    <x:row r="914">
      <x:c r="A914" s="17" t="n">
        <x:v>44363</x:v>
      </x:c>
      <x:c r="B914" s="18" t="n">
        <x:v>1859.13</x:v>
      </x:c>
      <x:c r="C914" s="18" t="n">
        <x:v>1862.91</x:v>
      </x:c>
      <x:c r="D914" s="18" t="n">
        <x:v>1803.33</x:v>
      </x:c>
      <x:c r="E914" s="18" t="n">
        <x:v>1810.21</x:v>
      </x:c>
      <x:c r="F914" s="19" t="n">
        <x:v>112002</x:v>
      </x:c>
    </x:row>
    <x:row r="915">
      <x:c r="A915" s="17" t="n">
        <x:v>44364</x:v>
      </x:c>
      <x:c r="B915" s="18" t="n">
        <x:v>1813.54</x:v>
      </x:c>
      <x:c r="C915" s="18" t="n">
        <x:v>1825.33</x:v>
      </x:c>
      <x:c r="D915" s="18" t="n">
        <x:v>1767.3</x:v>
      </x:c>
      <x:c r="E915" s="18" t="n">
        <x:v>1772.78</x:v>
      </x:c>
      <x:c r="F915" s="19" t="n">
        <x:v>186319</x:v>
      </x:c>
    </x:row>
    <x:row r="916">
      <x:c r="A916" s="17" t="n">
        <x:v>44365</x:v>
      </x:c>
      <x:c r="B916" s="18" t="n">
        <x:v>1775.49</x:v>
      </x:c>
      <x:c r="C916" s="18" t="n">
        <x:v>1797.14</x:v>
      </x:c>
      <x:c r="D916" s="18" t="n">
        <x:v>1760.91</x:v>
      </x:c>
      <x:c r="E916" s="18" t="n">
        <x:v>1764.52</x:v>
      </x:c>
      <x:c r="F916" s="19" t="n">
        <x:v>136136</x:v>
      </x:c>
    </x:row>
    <x:row r="917">
      <x:c r="A917" s="17" t="n">
        <x:v>44368</x:v>
      </x:c>
      <x:c r="B917" s="18" t="n">
        <x:v>1768.64</x:v>
      </x:c>
      <x:c r="C917" s="18" t="n">
        <x:v>1786.61</x:v>
      </x:c>
      <x:c r="D917" s="18" t="n">
        <x:v>1766.4</x:v>
      </x:c>
      <x:c r="E917" s="18" t="n">
        <x:v>1783.25</x:v>
      </x:c>
      <x:c r="F917" s="19" t="n">
        <x:v>142895</x:v>
      </x:c>
    </x:row>
    <x:row r="918">
      <x:c r="A918" s="17" t="n">
        <x:v>44369</x:v>
      </x:c>
      <x:c r="B918" s="18" t="n">
        <x:v>1784.05</x:v>
      </x:c>
      <x:c r="C918" s="18" t="n">
        <x:v>1790.09</x:v>
      </x:c>
      <x:c r="D918" s="18" t="n">
        <x:v>1772.44</x:v>
      </x:c>
      <x:c r="E918" s="18" t="n">
        <x:v>1778.63</x:v>
      </x:c>
      <x:c r="F918" s="19" t="n">
        <x:v>126279</x:v>
      </x:c>
    </x:row>
    <x:row r="919">
      <x:c r="A919" s="17" t="n">
        <x:v>44370</x:v>
      </x:c>
      <x:c r="B919" s="18" t="n">
        <x:v>1779.76</x:v>
      </x:c>
      <x:c r="C919" s="18" t="n">
        <x:v>1794.95</x:v>
      </x:c>
      <x:c r="D919" s="18" t="n">
        <x:v>1773.33</x:v>
      </x:c>
      <x:c r="E919" s="18" t="n">
        <x:v>1778.4</x:v>
      </x:c>
      <x:c r="F919" s="19" t="n">
        <x:v>104888</x:v>
      </x:c>
    </x:row>
    <x:row r="920">
      <x:c r="A920" s="17" t="n">
        <x:v>44371</x:v>
      </x:c>
      <x:c r="B920" s="18" t="n">
        <x:v>1778.61</x:v>
      </x:c>
      <x:c r="C920" s="18" t="n">
        <x:v>1787.97</x:v>
      </x:c>
      <x:c r="D920" s="18" t="n">
        <x:v>1772.85</x:v>
      </x:c>
      <x:c r="E920" s="18" t="n">
        <x:v>1774.96</x:v>
      </x:c>
      <x:c r="F920" s="19" t="n">
        <x:v>110374</x:v>
      </x:c>
    </x:row>
    <x:row r="921">
      <x:c r="A921" s="17" t="n">
        <x:v>44372</x:v>
      </x:c>
      <x:c r="B921" s="18" t="n">
        <x:v>1776.26</x:v>
      </x:c>
      <x:c r="C921" s="18" t="n">
        <x:v>1790.34</x:v>
      </x:c>
      <x:c r="D921" s="18" t="n">
        <x:v>1773.7</x:v>
      </x:c>
      <x:c r="E921" s="18" t="n">
        <x:v>1781.11</x:v>
      </x:c>
      <x:c r="F921" s="19" t="n">
        <x:v>94761</x:v>
      </x:c>
    </x:row>
    <x:row r="922">
      <x:c r="A922" s="17" t="n">
        <x:v>44375</x:v>
      </x:c>
      <x:c r="B922" s="18" t="n">
        <x:v>1781.24</x:v>
      </x:c>
      <x:c r="C922" s="18" t="n">
        <x:v>1785.74</x:v>
      </x:c>
      <x:c r="D922" s="18" t="n">
        <x:v>1770.67</x:v>
      </x:c>
      <x:c r="E922" s="18" t="n">
        <x:v>1779.03</x:v>
      </x:c>
      <x:c r="F922" s="19" t="n">
        <x:v>87814</x:v>
      </x:c>
    </x:row>
    <x:row r="923">
      <x:c r="A923" s="17" t="n">
        <x:v>44376</x:v>
      </x:c>
      <x:c r="B923" s="18" t="n">
        <x:v>1778.6</x:v>
      </x:c>
      <x:c r="C923" s="18" t="n">
        <x:v>1778.96</x:v>
      </x:c>
      <x:c r="D923" s="18" t="n">
        <x:v>1750.69</x:v>
      </x:c>
      <x:c r="E923" s="18" t="n">
        <x:v>1761.08</x:v>
      </x:c>
      <x:c r="F923" s="19" t="n">
        <x:v>81852</x:v>
      </x:c>
    </x:row>
    <x:row r="924">
      <x:c r="A924" s="17" t="n">
        <x:v>44377</x:v>
      </x:c>
      <x:c r="B924" s="18" t="n">
        <x:v>1762.09</x:v>
      </x:c>
      <x:c r="C924" s="18" t="n">
        <x:v>1774.39</x:v>
      </x:c>
      <x:c r="D924" s="18" t="n">
        <x:v>1753.33</x:v>
      </x:c>
      <x:c r="E924" s="18" t="n">
        <x:v>1769.65</x:v>
      </x:c>
      <x:c r="F924" s="19" t="n">
        <x:v>80009</x:v>
      </x:c>
    </x:row>
    <x:row r="925">
      <x:c r="A925" s="17" t="n">
        <x:v>44378</x:v>
      </x:c>
      <x:c r="B925" s="18" t="n">
        <x:v>1770.03</x:v>
      </x:c>
      <x:c r="C925" s="18" t="n">
        <x:v>1782.78</x:v>
      </x:c>
      <x:c r="D925" s="18" t="n">
        <x:v>1765.64</x:v>
      </x:c>
      <x:c r="E925" s="18" t="n">
        <x:v>1776.52</x:v>
      </x:c>
      <x:c r="F925" s="19" t="n">
        <x:v>74755</x:v>
      </x:c>
    </x:row>
    <x:row r="926">
      <x:c r="A926" s="17" t="n">
        <x:v>44379</x:v>
      </x:c>
      <x:c r="B926" s="18" t="n">
        <x:v>1776.28</x:v>
      </x:c>
      <x:c r="C926" s="18" t="n">
        <x:v>1795.04</x:v>
      </x:c>
      <x:c r="D926" s="18" t="n">
        <x:v>1774.33</x:v>
      </x:c>
      <x:c r="E926" s="18" t="n">
        <x:v>1787.33</x:v>
      </x:c>
      <x:c r="F926" s="19" t="n">
        <x:v>79540</x:v>
      </x:c>
    </x:row>
    <x:row r="927">
      <x:c r="A927" s="17" t="n">
        <x:v>44382</x:v>
      </x:c>
      <x:c r="B927" s="18" t="n">
        <x:v>1787.11</x:v>
      </x:c>
      <x:c r="C927" s="18" t="n">
        <x:v>1794.34</x:v>
      </x:c>
      <x:c r="D927" s="18" t="n">
        <x:v>1784.47</x:v>
      </x:c>
      <x:c r="E927" s="18" t="n">
        <x:v>1791.73</x:v>
      </x:c>
      <x:c r="F927" s="19" t="n">
        <x:v>40542</x:v>
      </x:c>
    </x:row>
    <x:row r="928">
      <x:c r="A928" s="17" t="n">
        <x:v>44383</x:v>
      </x:c>
      <x:c r="B928" s="18" t="n">
        <x:v>1791.27</x:v>
      </x:c>
      <x:c r="C928" s="18" t="n">
        <x:v>1814.97</x:v>
      </x:c>
      <x:c r="D928" s="18" t="n">
        <x:v>1790.11</x:v>
      </x:c>
      <x:c r="E928" s="18" t="n">
        <x:v>1797.05</x:v>
      </x:c>
      <x:c r="F928" s="19" t="n">
        <x:v>88151</x:v>
      </x:c>
    </x:row>
    <x:row r="929">
      <x:c r="A929" s="17" t="n">
        <x:v>44384</x:v>
      </x:c>
      <x:c r="B929" s="18" t="n">
        <x:v>1796.31</x:v>
      </x:c>
      <x:c r="C929" s="18" t="n">
        <x:v>1809.72</x:v>
      </x:c>
      <x:c r="D929" s="18" t="n">
        <x:v>1793.85</x:v>
      </x:c>
      <x:c r="E929" s="18" t="n">
        <x:v>1803.59</x:v>
      </x:c>
      <x:c r="F929" s="19" t="n">
        <x:v>83421</x:v>
      </x:c>
    </x:row>
    <x:row r="930">
      <x:c r="A930" s="17" t="n">
        <x:v>44385</x:v>
      </x:c>
      <x:c r="B930" s="18" t="n">
        <x:v>1803.68</x:v>
      </x:c>
      <x:c r="C930" s="18" t="n">
        <x:v>1818.33</x:v>
      </x:c>
      <x:c r="D930" s="18" t="n">
        <x:v>1793.83</x:v>
      </x:c>
      <x:c r="E930" s="18" t="n">
        <x:v>1802.35</x:v>
      </x:c>
      <x:c r="F930" s="19" t="n">
        <x:v>105013</x:v>
      </x:c>
    </x:row>
    <x:row r="931">
      <x:c r="A931" s="17" t="n">
        <x:v>44386</x:v>
      </x:c>
      <x:c r="B931" s="18" t="n">
        <x:v>1802.94</x:v>
      </x:c>
      <x:c r="C931" s="18" t="n">
        <x:v>1812.33</x:v>
      </x:c>
      <x:c r="D931" s="18" t="n">
        <x:v>1796.38</x:v>
      </x:c>
      <x:c r="E931" s="18" t="n">
        <x:v>1808.04</x:v>
      </x:c>
      <x:c r="F931" s="19" t="n">
        <x:v>77370</x:v>
      </x:c>
    </x:row>
    <x:row r="932">
      <x:c r="A932" s="17" t="n">
        <x:v>44389</x:v>
      </x:c>
      <x:c r="B932" s="18" t="n">
        <x:v>1807.97</x:v>
      </x:c>
      <x:c r="C932" s="18" t="n">
        <x:v>1810.82</x:v>
      </x:c>
      <x:c r="D932" s="18" t="n">
        <x:v>1791.65</x:v>
      </x:c>
      <x:c r="E932" s="18" t="n">
        <x:v>1806.17</x:v>
      </x:c>
      <x:c r="F932" s="19" t="n">
        <x:v>66869</x:v>
      </x:c>
    </x:row>
    <x:row r="933">
      <x:c r="A933" s="17" t="n">
        <x:v>44390</x:v>
      </x:c>
      <x:c r="B933" s="18" t="n">
        <x:v>1806.26</x:v>
      </x:c>
      <x:c r="C933" s="18" t="n">
        <x:v>1817.14</x:v>
      </x:c>
      <x:c r="D933" s="18" t="n">
        <x:v>1798.6</x:v>
      </x:c>
      <x:c r="E933" s="18" t="n">
        <x:v>1807.14</x:v>
      </x:c>
      <x:c r="F933" s="19" t="n">
        <x:v>78097</x:v>
      </x:c>
    </x:row>
    <x:row r="934">
      <x:c r="A934" s="17" t="n">
        <x:v>44391</x:v>
      </x:c>
      <x:c r="B934" s="18" t="n">
        <x:v>1807.95</x:v>
      </x:c>
      <x:c r="C934" s="18" t="n">
        <x:v>1829.73</x:v>
      </x:c>
      <x:c r="D934" s="18" t="n">
        <x:v>1804.55</x:v>
      </x:c>
      <x:c r="E934" s="18" t="n">
        <x:v>1827.99</x:v>
      </x:c>
      <x:c r="F934" s="19" t="n">
        <x:v>80677</x:v>
      </x:c>
    </x:row>
    <x:row r="935">
      <x:c r="A935" s="17" t="n">
        <x:v>44392</x:v>
      </x:c>
      <x:c r="B935" s="18" t="n">
        <x:v>1827.44</x:v>
      </x:c>
      <x:c r="C935" s="18" t="n">
        <x:v>1834.07</x:v>
      </x:c>
      <x:c r="D935" s="18" t="n">
        <x:v>1820.22</x:v>
      </x:c>
      <x:c r="E935" s="18" t="n">
        <x:v>1829.45</x:v>
      </x:c>
      <x:c r="F935" s="19" t="n">
        <x:v>76139</x:v>
      </x:c>
    </x:row>
    <x:row r="936">
      <x:c r="A936" s="17" t="n">
        <x:v>44393</x:v>
      </x:c>
      <x:c r="B936" s="18" t="n">
        <x:v>1829.87</x:v>
      </x:c>
      <x:c r="C936" s="18" t="n">
        <x:v>1832</x:v>
      </x:c>
      <x:c r="D936" s="18" t="n">
        <x:v>1808.96</x:v>
      </x:c>
      <x:c r="E936" s="18" t="n">
        <x:v>1811.51</x:v>
      </x:c>
      <x:c r="F936" s="19" t="n">
        <x:v>90910</x:v>
      </x:c>
    </x:row>
    <x:row r="937">
      <x:c r="A937" s="17" t="n">
        <x:v>44396</x:v>
      </x:c>
      <x:c r="B937" s="18" t="n">
        <x:v>1811.29</x:v>
      </x:c>
      <x:c r="C937" s="18" t="n">
        <x:v>1817.27</x:v>
      </x:c>
      <x:c r="D937" s="18" t="n">
        <x:v>1794.98</x:v>
      </x:c>
      <x:c r="E937" s="18" t="n">
        <x:v>1812.61</x:v>
      </x:c>
      <x:c r="F937" s="19" t="n">
        <x:v>117655</x:v>
      </x:c>
    </x:row>
    <x:row r="938">
      <x:c r="A938" s="17" t="n">
        <x:v>44397</x:v>
      </x:c>
      <x:c r="B938" s="18" t="n">
        <x:v>1812.65</x:v>
      </x:c>
      <x:c r="C938" s="18" t="n">
        <x:v>1824.92</x:v>
      </x:c>
      <x:c r="D938" s="18" t="n">
        <x:v>1805.1</x:v>
      </x:c>
      <x:c r="E938" s="18" t="n">
        <x:v>1810.24</x:v>
      </x:c>
      <x:c r="F938" s="19" t="n">
        <x:v>103742</x:v>
      </x:c>
    </x:row>
    <x:row r="939">
      <x:c r="A939" s="17" t="n">
        <x:v>44398</x:v>
      </x:c>
      <x:c r="B939" s="18" t="n">
        <x:v>1810.4</x:v>
      </x:c>
      <x:c r="C939" s="18" t="n">
        <x:v>1813.74</x:v>
      </x:c>
      <x:c r="D939" s="18" t="n">
        <x:v>1794.68</x:v>
      </x:c>
      <x:c r="E939" s="18" t="n">
        <x:v>1803.42</x:v>
      </x:c>
      <x:c r="F939" s="19" t="n">
        <x:v>94121</x:v>
      </x:c>
    </x:row>
    <x:row r="940">
      <x:c r="A940" s="17" t="n">
        <x:v>44399</x:v>
      </x:c>
      <x:c r="B940" s="18" t="n">
        <x:v>1803.83</x:v>
      </x:c>
      <x:c r="C940" s="18" t="n">
        <x:v>1808.04</x:v>
      </x:c>
      <x:c r="D940" s="18" t="n">
        <x:v>1792.74</x:v>
      </x:c>
      <x:c r="E940" s="18" t="n">
        <x:v>1806.42</x:v>
      </x:c>
      <x:c r="F940" s="19" t="n">
        <x:v>92708</x:v>
      </x:c>
    </x:row>
    <x:row r="941">
      <x:c r="A941" s="17" t="n">
        <x:v>44400</x:v>
      </x:c>
      <x:c r="B941" s="18" t="n">
        <x:v>1806.98</x:v>
      </x:c>
      <x:c r="C941" s="18" t="n">
        <x:v>1810.3</x:v>
      </x:c>
      <x:c r="D941" s="18" t="n">
        <x:v>1789.63</x:v>
      </x:c>
      <x:c r="E941" s="18" t="n">
        <x:v>1801.93</x:v>
      </x:c>
      <x:c r="F941" s="19" t="n">
        <x:v>83504</x:v>
      </x:c>
    </x:row>
    <x:row r="942">
      <x:c r="A942" s="17" t="n">
        <x:v>44403</x:v>
      </x:c>
      <x:c r="B942" s="18" t="n">
        <x:v>1802.26</x:v>
      </x:c>
      <x:c r="C942" s="18" t="n">
        <x:v>1811.46</x:v>
      </x:c>
      <x:c r="D942" s="18" t="n">
        <x:v>1796.38</x:v>
      </x:c>
      <x:c r="E942" s="18" t="n">
        <x:v>1797.65</x:v>
      </x:c>
      <x:c r="F942" s="19" t="n">
        <x:v>90431</x:v>
      </x:c>
    </x:row>
    <x:row r="943">
      <x:c r="A943" s="17" t="n">
        <x:v>44404</x:v>
      </x:c>
      <x:c r="B943" s="18" t="n">
        <x:v>1797.99</x:v>
      </x:c>
      <x:c r="C943" s="18" t="n">
        <x:v>1805.22</x:v>
      </x:c>
      <x:c r="D943" s="18" t="n">
        <x:v>1793.6</x:v>
      </x:c>
      <x:c r="E943" s="18" t="n">
        <x:v>1798.47</x:v>
      </x:c>
      <x:c r="F943" s="19" t="n">
        <x:v>88456</x:v>
      </x:c>
    </x:row>
    <x:row r="944">
      <x:c r="A944" s="17" t="n">
        <x:v>44405</x:v>
      </x:c>
      <x:c r="B944" s="18" t="n">
        <x:v>1800.52</x:v>
      </x:c>
      <x:c r="C944" s="18" t="n">
        <x:v>1809.82</x:v>
      </x:c>
      <x:c r="D944" s="18" t="n">
        <x:v>1792.36</x:v>
      </x:c>
      <x:c r="E944" s="18" t="n">
        <x:v>1807.11</x:v>
      </x:c>
      <x:c r="F944" s="19" t="n">
        <x:v>91748</x:v>
      </x:c>
    </x:row>
    <x:row r="945">
      <x:c r="A945" s="17" t="n">
        <x:v>44406</x:v>
      </x:c>
      <x:c r="B945" s="18" t="n">
        <x:v>1807.34</x:v>
      </x:c>
      <x:c r="C945" s="18" t="n">
        <x:v>1832.62</x:v>
      </x:c>
      <x:c r="D945" s="18" t="n">
        <x:v>1807.22</x:v>
      </x:c>
      <x:c r="E945" s="18" t="n">
        <x:v>1827.79</x:v>
      </x:c>
      <x:c r="F945" s="19" t="n">
        <x:v>89520</x:v>
      </x:c>
    </x:row>
    <x:row r="946">
      <x:c r="A946" s="17" t="n">
        <x:v>44407</x:v>
      </x:c>
      <x:c r="B946" s="18" t="n">
        <x:v>1828.79</x:v>
      </x:c>
      <x:c r="C946" s="18" t="n">
        <x:v>1831.34</x:v>
      </x:c>
      <x:c r="D946" s="18" t="n">
        <x:v>1810.2</x:v>
      </x:c>
      <x:c r="E946" s="18" t="n">
        <x:v>1814.28</x:v>
      </x:c>
      <x:c r="F946" s="19" t="n">
        <x:v>81091</x:v>
      </x:c>
    </x:row>
    <x:row r="947">
      <x:c r="A947" s="17" t="n">
        <x:v>44410</x:v>
      </x:c>
      <x:c r="B947" s="18" t="n">
        <x:v>1814.6</x:v>
      </x:c>
      <x:c r="C947" s="18" t="n">
        <x:v>1819.51</x:v>
      </x:c>
      <x:c r="D947" s="18" t="n">
        <x:v>1805.78</x:v>
      </x:c>
      <x:c r="E947" s="18" t="n">
        <x:v>1813.11</x:v>
      </x:c>
      <x:c r="F947" s="19" t="n">
        <x:v>88661</x:v>
      </x:c>
    </x:row>
    <x:row r="948">
      <x:c r="A948" s="17" t="n">
        <x:v>44411</x:v>
      </x:c>
      <x:c r="B948" s="18" t="n">
        <x:v>1813.49</x:v>
      </x:c>
      <x:c r="C948" s="18" t="n">
        <x:v>1814.99</x:v>
      </x:c>
      <x:c r="D948" s="18" t="n">
        <x:v>1807.12</x:v>
      </x:c>
      <x:c r="E948" s="18" t="n">
        <x:v>1810.12</x:v>
      </x:c>
      <x:c r="F948" s="19" t="n">
        <x:v>71014</x:v>
      </x:c>
    </x:row>
    <x:row r="949">
      <x:c r="A949" s="17" t="n">
        <x:v>44412</x:v>
      </x:c>
      <x:c r="B949" s="18" t="n">
        <x:v>1810.26</x:v>
      </x:c>
      <x:c r="C949" s="18" t="n">
        <x:v>1831.65</x:v>
      </x:c>
      <x:c r="D949" s="18" t="n">
        <x:v>1806.4</x:v>
      </x:c>
      <x:c r="E949" s="18" t="n">
        <x:v>1811.6</x:v>
      </x:c>
      <x:c r="F949" s="19" t="n">
        <x:v>81473</x:v>
      </x:c>
    </x:row>
    <x:row r="950">
      <x:c r="A950" s="17" t="n">
        <x:v>44413</x:v>
      </x:c>
      <x:c r="B950" s="18" t="n">
        <x:v>1812.03</x:v>
      </x:c>
      <x:c r="C950" s="18" t="n">
        <x:v>1814.81</x:v>
      </x:c>
      <x:c r="D950" s="18" t="n">
        <x:v>1797.83</x:v>
      </x:c>
      <x:c r="E950" s="18" t="n">
        <x:v>1803.73</x:v>
      </x:c>
      <x:c r="F950" s="19" t="n">
        <x:v>76504</x:v>
      </x:c>
    </x:row>
    <x:row r="951">
      <x:c r="A951" s="17" t="n">
        <x:v>44414</x:v>
      </x:c>
      <x:c r="B951" s="18" t="n">
        <x:v>1804.65</x:v>
      </x:c>
      <x:c r="C951" s="18" t="n">
        <x:v>1804.72</x:v>
      </x:c>
      <x:c r="D951" s="18" t="n">
        <x:v>1758.65</x:v>
      </x:c>
      <x:c r="E951" s="18" t="n">
        <x:v>1763.18</x:v>
      </x:c>
      <x:c r="F951" s="19" t="n">
        <x:v>90320</x:v>
      </x:c>
    </x:row>
    <x:row r="952">
      <x:c r="A952" s="17" t="n">
        <x:v>44417</x:v>
      </x:c>
      <x:c r="B952" s="18" t="n">
        <x:v>1761.08</x:v>
      </x:c>
      <x:c r="C952" s="18" t="n">
        <x:v>1762.27</x:v>
      </x:c>
      <x:c r="D952" s="18" t="n">
        <x:v>1683.2</x:v>
      </x:c>
      <x:c r="E952" s="18" t="n">
        <x:v>1729.58</x:v>
      </x:c>
      <x:c r="F952" s="19" t="n">
        <x:v>123735</x:v>
      </x:c>
    </x:row>
    <x:row r="953">
      <x:c r="A953" s="17" t="n">
        <x:v>44418</x:v>
      </x:c>
      <x:c r="B953" s="18" t="n">
        <x:v>1728.91</x:v>
      </x:c>
      <x:c r="C953" s="18" t="n">
        <x:v>1738.27</x:v>
      </x:c>
      <x:c r="D953" s="18" t="n">
        <x:v>1717.71</x:v>
      </x:c>
      <x:c r="E953" s="18" t="n">
        <x:v>1728.74</x:v>
      </x:c>
      <x:c r="F953" s="19" t="n">
        <x:v>88755</x:v>
      </x:c>
    </x:row>
    <x:row r="954">
      <x:c r="A954" s="17" t="n">
        <x:v>44419</x:v>
      </x:c>
      <x:c r="B954" s="18" t="n">
        <x:v>1729.71</x:v>
      </x:c>
      <x:c r="C954" s="18" t="n">
        <x:v>1754.37</x:v>
      </x:c>
      <x:c r="D954" s="18" t="n">
        <x:v>1724.08</x:v>
      </x:c>
      <x:c r="E954" s="18" t="n">
        <x:v>1751.5</x:v>
      </x:c>
      <x:c r="F954" s="19" t="n">
        <x:v>91167</x:v>
      </x:c>
    </x:row>
    <x:row r="955">
      <x:c r="A955" s="17" t="n">
        <x:v>44420</x:v>
      </x:c>
      <x:c r="B955" s="18" t="n">
        <x:v>1751.32</x:v>
      </x:c>
      <x:c r="C955" s="18" t="n">
        <x:v>1758.15</x:v>
      </x:c>
      <x:c r="D955" s="18" t="n">
        <x:v>1741.58</x:v>
      </x:c>
      <x:c r="E955" s="18" t="n">
        <x:v>1752.86</x:v>
      </x:c>
      <x:c r="F955" s="19" t="n">
        <x:v>77872</x:v>
      </x:c>
    </x:row>
    <x:row r="956">
      <x:c r="A956" s="17" t="n">
        <x:v>44421</x:v>
      </x:c>
      <x:c r="B956" s="18" t="n">
        <x:v>1753.17</x:v>
      </x:c>
      <x:c r="C956" s="18" t="n">
        <x:v>1779.79</x:v>
      </x:c>
      <x:c r="D956" s="18" t="n">
        <x:v>1751.69</x:v>
      </x:c>
      <x:c r="E956" s="18" t="n">
        <x:v>1779.7</x:v>
      </x:c>
      <x:c r="F956" s="19" t="n">
        <x:v>73095</x:v>
      </x:c>
    </x:row>
    <x:row r="957">
      <x:c r="A957" s="17" t="n">
        <x:v>44424</x:v>
      </x:c>
      <x:c r="B957" s="18" t="n">
        <x:v>1779.08</x:v>
      </x:c>
      <x:c r="C957" s="18" t="n">
        <x:v>1789.28</x:v>
      </x:c>
      <x:c r="D957" s="18" t="n">
        <x:v>1770.8</x:v>
      </x:c>
      <x:c r="E957" s="18" t="n">
        <x:v>1787.24</x:v>
      </x:c>
      <x:c r="F957" s="19" t="n">
        <x:v>84258</x:v>
      </x:c>
    </x:row>
    <x:row r="958">
      <x:c r="A958" s="17" t="n">
        <x:v>44425</x:v>
      </x:c>
      <x:c r="B958" s="18" t="n">
        <x:v>1787.22</x:v>
      </x:c>
      <x:c r="C958" s="18" t="n">
        <x:v>1795.46</x:v>
      </x:c>
      <x:c r="D958" s="18" t="n">
        <x:v>1780.53</x:v>
      </x:c>
      <x:c r="E958" s="18" t="n">
        <x:v>1785.8</x:v>
      </x:c>
      <x:c r="F958" s="19" t="n">
        <x:v>84021</x:v>
      </x:c>
    </x:row>
    <x:row r="959">
      <x:c r="A959" s="17" t="n">
        <x:v>44426</x:v>
      </x:c>
      <x:c r="B959" s="18" t="n">
        <x:v>1786.3</x:v>
      </x:c>
      <x:c r="C959" s="18" t="n">
        <x:v>1793.75</x:v>
      </x:c>
      <x:c r="D959" s="18" t="n">
        <x:v>1777.32</x:v>
      </x:c>
      <x:c r="E959" s="18" t="n">
        <x:v>1787.68</x:v>
      </x:c>
      <x:c r="F959" s="19" t="n">
        <x:v>84606</x:v>
      </x:c>
    </x:row>
    <x:row r="960">
      <x:c r="A960" s="17" t="n">
        <x:v>44427</x:v>
      </x:c>
      <x:c r="B960" s="18" t="n">
        <x:v>1787.37</x:v>
      </x:c>
      <x:c r="C960" s="18" t="n">
        <x:v>1792.44</x:v>
      </x:c>
      <x:c r="D960" s="18" t="n">
        <x:v>1774.41</x:v>
      </x:c>
      <x:c r="E960" s="18" t="n">
        <x:v>1780</x:v>
      </x:c>
      <x:c r="F960" s="19" t="n">
        <x:v>95481</x:v>
      </x:c>
    </x:row>
    <x:row r="961">
      <x:c r="A961" s="17" t="n">
        <x:v>44428</x:v>
      </x:c>
      <x:c r="B961" s="18" t="n">
        <x:v>1780.14</x:v>
      </x:c>
      <x:c r="C961" s="18" t="n">
        <x:v>1788.37</x:v>
      </x:c>
      <x:c r="D961" s="18" t="n">
        <x:v>1778.33</x:v>
      </x:c>
      <x:c r="E961" s="18" t="n">
        <x:v>1780.94</x:v>
      </x:c>
      <x:c r="F961" s="19" t="n">
        <x:v>74472</x:v>
      </x:c>
    </x:row>
    <x:row r="962">
      <x:c r="A962" s="17" t="n">
        <x:v>44431</x:v>
      </x:c>
      <x:c r="B962" s="18" t="n">
        <x:v>1781.52</x:v>
      </x:c>
      <x:c r="C962" s="18" t="n">
        <x:v>1806.42</x:v>
      </x:c>
      <x:c r="D962" s="18" t="n">
        <x:v>1776.44</x:v>
      </x:c>
      <x:c r="E962" s="18" t="n">
        <x:v>1805.18</x:v>
      </x:c>
      <x:c r="F962" s="19" t="n">
        <x:v>81054</x:v>
      </x:c>
    </x:row>
    <x:row r="963">
      <x:c r="A963" s="17" t="n">
        <x:v>44432</x:v>
      </x:c>
      <x:c r="B963" s="18" t="n">
        <x:v>1805.41</x:v>
      </x:c>
      <x:c r="C963" s="18" t="n">
        <x:v>1809.51</x:v>
      </x:c>
      <x:c r="D963" s="18" t="n">
        <x:v>1800.7</x:v>
      </x:c>
      <x:c r="E963" s="18" t="n">
        <x:v>1802.83</x:v>
      </x:c>
      <x:c r="F963" s="19" t="n">
        <x:v>68351</x:v>
      </x:c>
    </x:row>
    <x:row r="964">
      <x:c r="A964" s="17" t="n">
        <x:v>44433</x:v>
      </x:c>
      <x:c r="B964" s="18" t="n">
        <x:v>1802.42</x:v>
      </x:c>
      <x:c r="C964" s="18" t="n">
        <x:v>1802.78</x:v>
      </x:c>
      <x:c r="D964" s="18" t="n">
        <x:v>1782.57</x:v>
      </x:c>
      <x:c r="E964" s="18" t="n">
        <x:v>1790.33</x:v>
      </x:c>
      <x:c r="F964" s="19" t="n">
        <x:v>71904</x:v>
      </x:c>
    </x:row>
    <x:row r="965">
      <x:c r="A965" s="17" t="n">
        <x:v>44434</x:v>
      </x:c>
      <x:c r="B965" s="18" t="n">
        <x:v>1791.03</x:v>
      </x:c>
      <x:c r="C965" s="18" t="n">
        <x:v>1798.12</x:v>
      </x:c>
      <x:c r="D965" s="18" t="n">
        <x:v>1780.07</x:v>
      </x:c>
      <x:c r="E965" s="18" t="n">
        <x:v>1791.69</x:v>
      </x:c>
      <x:c r="F965" s="19" t="n">
        <x:v>66655</x:v>
      </x:c>
    </x:row>
    <x:row r="966">
      <x:c r="A966" s="17" t="n">
        <x:v>44435</x:v>
      </x:c>
      <x:c r="B966" s="18" t="n">
        <x:v>1792.42</x:v>
      </x:c>
      <x:c r="C966" s="18" t="n">
        <x:v>1819.09</x:v>
      </x:c>
      <x:c r="D966" s="18" t="n">
        <x:v>1784.01</x:v>
      </x:c>
      <x:c r="E966" s="18" t="n">
        <x:v>1817.85</x:v>
      </x:c>
      <x:c r="F966" s="19" t="n">
        <x:v>73792</x:v>
      </x:c>
    </x:row>
    <x:row r="967">
      <x:c r="A967" s="17" t="n">
        <x:v>44438</x:v>
      </x:c>
      <x:c r="B967" s="18" t="n">
        <x:v>1818.18</x:v>
      </x:c>
      <x:c r="C967" s="18" t="n">
        <x:v>1823.24</x:v>
      </x:c>
      <x:c r="D967" s="18" t="n">
        <x:v>1807.76</x:v>
      </x:c>
      <x:c r="E967" s="18" t="n">
        <x:v>1810.13</x:v>
      </x:c>
      <x:c r="F967" s="19" t="n">
        <x:v>51256</x:v>
      </x:c>
    </x:row>
    <x:row r="968">
      <x:c r="A968" s="17" t="n">
        <x:v>44439</x:v>
      </x:c>
      <x:c r="B968" s="18" t="n">
        <x:v>1810</x:v>
      </x:c>
      <x:c r="C968" s="18" t="n">
        <x:v>1819.15</x:v>
      </x:c>
      <x:c r="D968" s="18" t="n">
        <x:v>1801.71</x:v>
      </x:c>
      <x:c r="E968" s="18" t="n">
        <x:v>1814.26</x:v>
      </x:c>
      <x:c r="F968" s="19" t="n">
        <x:v>69797</x:v>
      </x:c>
    </x:row>
    <x:row r="969">
      <x:c r="A969" s="17" t="n">
        <x:v>44440</x:v>
      </x:c>
      <x:c r="B969" s="18" t="n">
        <x:v>1814.47</x:v>
      </x:c>
      <x:c r="C969" s="18" t="n">
        <x:v>1820.03</x:v>
      </x:c>
      <x:c r="D969" s="18" t="n">
        <x:v>1808.72</x:v>
      </x:c>
      <x:c r="E969" s="18" t="n">
        <x:v>1813.77</x:v>
      </x:c>
      <x:c r="F969" s="19" t="n">
        <x:v>66557</x:v>
      </x:c>
    </x:row>
    <x:row r="970">
      <x:c r="A970" s="17" t="n">
        <x:v>44441</x:v>
      </x:c>
      <x:c r="B970" s="18" t="n">
        <x:v>1813.97</x:v>
      </x:c>
      <x:c r="C970" s="18" t="n">
        <x:v>1817.15</x:v>
      </x:c>
      <x:c r="D970" s="18" t="n">
        <x:v>1804.86</x:v>
      </x:c>
      <x:c r="E970" s="18" t="n">
        <x:v>1809.55</x:v>
      </x:c>
      <x:c r="F970" s="19" t="n">
        <x:v>48158</x:v>
      </x:c>
    </x:row>
    <x:row r="971">
      <x:c r="A971" s="17" t="n">
        <x:v>44442</x:v>
      </x:c>
      <x:c r="B971" s="18" t="n">
        <x:v>1809.49</x:v>
      </x:c>
      <x:c r="C971" s="18" t="n">
        <x:v>1833.95</x:v>
      </x:c>
      <x:c r="D971" s="18" t="n">
        <x:v>1808.94</x:v>
      </x:c>
      <x:c r="E971" s="18" t="n">
        <x:v>1827.59</x:v>
      </x:c>
      <x:c r="F971" s="19" t="n">
        <x:v>64900</x:v>
      </x:c>
    </x:row>
    <x:row r="972">
      <x:c r="A972" s="17" t="n">
        <x:v>44445</x:v>
      </x:c>
      <x:c r="B972" s="18" t="n">
        <x:v>1828.29</x:v>
      </x:c>
      <x:c r="C972" s="18" t="n">
        <x:v>1830.24</x:v>
      </x:c>
      <x:c r="D972" s="18" t="n">
        <x:v>1821.42</x:v>
      </x:c>
      <x:c r="E972" s="18" t="n">
        <x:v>1823.14</x:v>
      </x:c>
      <x:c r="F972" s="19" t="n">
        <x:v>30435</x:v>
      </x:c>
    </x:row>
    <x:row r="973">
      <x:c r="A973" s="17" t="n">
        <x:v>44446</x:v>
      </x:c>
      <x:c r="B973" s="18" t="n">
        <x:v>1823.53</x:v>
      </x:c>
      <x:c r="C973" s="18" t="n">
        <x:v>1827.22</x:v>
      </x:c>
      <x:c r="D973" s="18" t="n">
        <x:v>1792.04</x:v>
      </x:c>
      <x:c r="E973" s="18" t="n">
        <x:v>1793.92</x:v>
      </x:c>
      <x:c r="F973" s="19" t="n">
        <x:v>65120</x:v>
      </x:c>
    </x:row>
    <x:row r="974">
      <x:c r="A974" s="17" t="n">
        <x:v>44447</x:v>
      </x:c>
      <x:c r="B974" s="18" t="n">
        <x:v>1795.12</x:v>
      </x:c>
      <x:c r="C974" s="18" t="n">
        <x:v>1802.11</x:v>
      </x:c>
      <x:c r="D974" s="18" t="n">
        <x:v>1782.43</x:v>
      </x:c>
      <x:c r="E974" s="18" t="n">
        <x:v>1789.29</x:v>
      </x:c>
      <x:c r="F974" s="19" t="n">
        <x:v>69657</x:v>
      </x:c>
    </x:row>
    <x:row r="975">
      <x:c r="A975" s="17" t="n">
        <x:v>44448</x:v>
      </x:c>
      <x:c r="B975" s="18" t="n">
        <x:v>1789.54</x:v>
      </x:c>
      <x:c r="C975" s="18" t="n">
        <x:v>1800.9</x:v>
      </x:c>
      <x:c r="D975" s="18" t="n">
        <x:v>1783.86</x:v>
      </x:c>
      <x:c r="E975" s="18" t="n">
        <x:v>1794.36</x:v>
      </x:c>
      <x:c r="F975" s="19" t="n">
        <x:v>69299</x:v>
      </x:c>
    </x:row>
    <x:row r="976">
      <x:c r="A976" s="17" t="n">
        <x:v>44449</x:v>
      </x:c>
      <x:c r="B976" s="18" t="n">
        <x:v>1793.87</x:v>
      </x:c>
      <x:c r="C976" s="18" t="n">
        <x:v>1803.77</x:v>
      </x:c>
      <x:c r="D976" s="18" t="n">
        <x:v>1787.24</x:v>
      </x:c>
      <x:c r="E976" s="18" t="n">
        <x:v>1787.81</x:v>
      </x:c>
      <x:c r="F976" s="19" t="n">
        <x:v>64121</x:v>
      </x:c>
    </x:row>
    <x:row r="977">
      <x:c r="A977" s="17" t="n">
        <x:v>44452</x:v>
      </x:c>
      <x:c r="B977" s="18" t="n">
        <x:v>1787.35</x:v>
      </x:c>
      <x:c r="C977" s="18" t="n">
        <x:v>1798.43</x:v>
      </x:c>
      <x:c r="D977" s="18" t="n">
        <x:v>1783.64</x:v>
      </x:c>
      <x:c r="E977" s="18" t="n">
        <x:v>1793.37</x:v>
      </x:c>
      <x:c r="F977" s="19" t="n">
        <x:v>53287</x:v>
      </x:c>
    </x:row>
    <x:row r="978">
      <x:c r="A978" s="17" t="n">
        <x:v>44453</x:v>
      </x:c>
      <x:c r="B978" s="18" t="n">
        <x:v>1793.38</x:v>
      </x:c>
      <x:c r="C978" s="18" t="n">
        <x:v>1808.58</x:v>
      </x:c>
      <x:c r="D978" s="18" t="n">
        <x:v>1779.6</x:v>
      </x:c>
      <x:c r="E978" s="18" t="n">
        <x:v>1804.69</x:v>
      </x:c>
      <x:c r="F978" s="19" t="n">
        <x:v>68253</x:v>
      </x:c>
    </x:row>
    <x:row r="979">
      <x:c r="A979" s="17" t="n">
        <x:v>44454</x:v>
      </x:c>
      <x:c r="B979" s="18" t="n">
        <x:v>1803.86</x:v>
      </x:c>
      <x:c r="C979" s="18" t="n">
        <x:v>1806.94</x:v>
      </x:c>
      <x:c r="D979" s="18" t="n">
        <x:v>1790.75</x:v>
      </x:c>
      <x:c r="E979" s="18" t="n">
        <x:v>1793.73</x:v>
      </x:c>
      <x:c r="F979" s="19" t="n">
        <x:v>71910</x:v>
      </x:c>
    </x:row>
    <x:row r="980">
      <x:c r="A980" s="17" t="n">
        <x:v>44455</x:v>
      </x:c>
      <x:c r="B980" s="18" t="n">
        <x:v>1794.12</x:v>
      </x:c>
      <x:c r="C980" s="18" t="n">
        <x:v>1796.2</x:v>
      </x:c>
      <x:c r="D980" s="18" t="n">
        <x:v>1745.24</x:v>
      </x:c>
      <x:c r="E980" s="18" t="n">
        <x:v>1752.72</x:v>
      </x:c>
      <x:c r="F980" s="19" t="n">
        <x:v>92224</x:v>
      </x:c>
    </x:row>
    <x:row r="981">
      <x:c r="A981" s="17" t="n">
        <x:v>44456</x:v>
      </x:c>
      <x:c r="B981" s="18" t="n">
        <x:v>1753.57</x:v>
      </x:c>
      <x:c r="C981" s="18" t="n">
        <x:v>1767.47</x:v>
      </x:c>
      <x:c r="D981" s="18" t="n">
        <x:v>1747.38</x:v>
      </x:c>
      <x:c r="E981" s="18" t="n">
        <x:v>1753.92</x:v>
      </x:c>
      <x:c r="F981" s="19" t="n">
        <x:v>93996</x:v>
      </x:c>
    </x:row>
    <x:row r="982">
      <x:c r="A982" s="17" t="n">
        <x:v>44459</x:v>
      </x:c>
      <x:c r="B982" s="18" t="n">
        <x:v>1754.22</x:v>
      </x:c>
      <x:c r="C982" s="18" t="n">
        <x:v>1767.05</x:v>
      </x:c>
      <x:c r="D982" s="18" t="n">
        <x:v>1742.07</x:v>
      </x:c>
      <x:c r="E982" s="18" t="n">
        <x:v>1764.82</x:v>
      </x:c>
      <x:c r="F982" s="19" t="n">
        <x:v>96288</x:v>
      </x:c>
    </x:row>
    <x:row r="983">
      <x:c r="A983" s="17" t="n">
        <x:v>44460</x:v>
      </x:c>
      <x:c r="B983" s="18" t="n">
        <x:v>1764.46</x:v>
      </x:c>
      <x:c r="C983" s="18" t="n">
        <x:v>1781.69</x:v>
      </x:c>
      <x:c r="D983" s="18" t="n">
        <x:v>1757.97</x:v>
      </x:c>
      <x:c r="E983" s="18" t="n">
        <x:v>1773.89</x:v>
      </x:c>
      <x:c r="F983" s="19" t="n">
        <x:v>77017</x:v>
      </x:c>
    </x:row>
    <x:row r="984">
      <x:c r="A984" s="17" t="n">
        <x:v>44461</x:v>
      </x:c>
      <x:c r="B984" s="18" t="n">
        <x:v>1774.86</x:v>
      </x:c>
      <x:c r="C984" s="18" t="n">
        <x:v>1787.21</x:v>
      </x:c>
      <x:c r="D984" s="18" t="n">
        <x:v>1764.72</x:v>
      </x:c>
      <x:c r="E984" s="18" t="n">
        <x:v>1767.99</x:v>
      </x:c>
      <x:c r="F984" s="19" t="n">
        <x:v>95213</x:v>
      </x:c>
    </x:row>
    <x:row r="985">
      <x:c r="A985" s="17" t="n">
        <x:v>44462</x:v>
      </x:c>
      <x:c r="B985" s="18" t="n">
        <x:v>1768.62</x:v>
      </x:c>
      <x:c r="C985" s="18" t="n">
        <x:v>1776.56</x:v>
      </x:c>
      <x:c r="D985" s="18" t="n">
        <x:v>1737.43</x:v>
      </x:c>
      <x:c r="E985" s="18" t="n">
        <x:v>1742.48</x:v>
      </x:c>
      <x:c r="F985" s="19" t="n">
        <x:v>94004</x:v>
      </x:c>
    </x:row>
    <x:row r="986">
      <x:c r="A986" s="17" t="n">
        <x:v>44463</x:v>
      </x:c>
      <x:c r="B986" s="18" t="n">
        <x:v>1744.64</x:v>
      </x:c>
      <x:c r="C986" s="18" t="n">
        <x:v>1757.71</x:v>
      </x:c>
      <x:c r="D986" s="18" t="n">
        <x:v>1740.49</x:v>
      </x:c>
      <x:c r="E986" s="18" t="n">
        <x:v>1749.72</x:v>
      </x:c>
      <x:c r="F986" s="19" t="n">
        <x:v>73477</x:v>
      </x:c>
    </x:row>
    <x:row r="987">
      <x:c r="A987" s="17" t="n">
        <x:v>44466</x:v>
      </x:c>
      <x:c r="B987" s="18" t="n">
        <x:v>1749.81</x:v>
      </x:c>
      <x:c r="C987" s="18" t="n">
        <x:v>1760.82</x:v>
      </x:c>
      <x:c r="D987" s="18" t="n">
        <x:v>1744.84</x:v>
      </x:c>
      <x:c r="E987" s="18" t="n">
        <x:v>1750.15</x:v>
      </x:c>
      <x:c r="F987" s="19" t="n">
        <x:v>90252</x:v>
      </x:c>
    </x:row>
    <x:row r="988">
      <x:c r="A988" s="17" t="n">
        <x:v>44467</x:v>
      </x:c>
      <x:c r="B988" s="18" t="n">
        <x:v>1750.67</x:v>
      </x:c>
      <x:c r="C988" s="18" t="n">
        <x:v>1754.49</x:v>
      </x:c>
      <x:c r="D988" s="18" t="n">
        <x:v>1728.1</x:v>
      </x:c>
      <x:c r="E988" s="18" t="n">
        <x:v>1733.53</x:v>
      </x:c>
      <x:c r="F988" s="19" t="n">
        <x:v>109052</x:v>
      </x:c>
    </x:row>
    <x:row r="989">
      <x:c r="A989" s="17" t="n">
        <x:v>44468</x:v>
      </x:c>
      <x:c r="B989" s="18" t="n">
        <x:v>1734.2</x:v>
      </x:c>
      <x:c r="C989" s="18" t="n">
        <x:v>1745.48</x:v>
      </x:c>
      <x:c r="D989" s="18" t="n">
        <x:v>1721.65</x:v>
      </x:c>
      <x:c r="E989" s="18" t="n">
        <x:v>1726.46</x:v>
      </x:c>
      <x:c r="F989" s="19" t="n">
        <x:v>99056</x:v>
      </x:c>
    </x:row>
    <x:row r="990">
      <x:c r="A990" s="17" t="n">
        <x:v>44469</x:v>
      </x:c>
      <x:c r="B990" s="18" t="n">
        <x:v>1726.64</x:v>
      </x:c>
      <x:c r="C990" s="18" t="n">
        <x:v>1764.12</x:v>
      </x:c>
      <x:c r="D990" s="18" t="n">
        <x:v>1722.24</x:v>
      </x:c>
      <x:c r="E990" s="18" t="n">
        <x:v>1757.16</x:v>
      </x:c>
      <x:c r="F990" s="19" t="n">
        <x:v>101418</x:v>
      </x:c>
    </x:row>
    <x:row r="991">
      <x:c r="A991" s="17" t="n">
        <x:v>44470</x:v>
      </x:c>
      <x:c r="B991" s="18" t="n">
        <x:v>1755.82</x:v>
      </x:c>
      <x:c r="C991" s="18" t="n">
        <x:v>1764.28</x:v>
      </x:c>
      <x:c r="D991" s="18" t="n">
        <x:v>1749.77</x:v>
      </x:c>
      <x:c r="E991" s="18" t="n">
        <x:v>1760.15</x:v>
      </x:c>
      <x:c r="F991" s="19" t="n">
        <x:v>93635</x:v>
      </x:c>
    </x:row>
    <x:row r="992">
      <x:c r="A992" s="17" t="n">
        <x:v>44473</x:v>
      </x:c>
      <x:c r="B992" s="18" t="n">
        <x:v>1760.79</x:v>
      </x:c>
      <x:c r="C992" s="18" t="n">
        <x:v>1770.5</x:v>
      </x:c>
      <x:c r="D992" s="18" t="n">
        <x:v>1747.79</x:v>
      </x:c>
      <x:c r="E992" s="18" t="n">
        <x:v>1769.35</x:v>
      </x:c>
      <x:c r="F992" s="19" t="n">
        <x:v>94390</x:v>
      </x:c>
    </x:row>
    <x:row r="993">
      <x:c r="A993" s="17" t="n">
        <x:v>44474</x:v>
      </x:c>
      <x:c r="B993" s="18" t="n">
        <x:v>1768.61</x:v>
      </x:c>
      <x:c r="C993" s="18" t="n">
        <x:v>1769.33</x:v>
      </x:c>
      <x:c r="D993" s="18" t="n">
        <x:v>1748.66</x:v>
      </x:c>
      <x:c r="E993" s="18" t="n">
        <x:v>1759.87</x:v>
      </x:c>
      <x:c r="F993" s="19" t="n">
        <x:v>84128</x:v>
      </x:c>
    </x:row>
    <x:row r="994">
      <x:c r="A994" s="17" t="n">
        <x:v>44475</x:v>
      </x:c>
      <x:c r="B994" s="18" t="n">
        <x:v>1760.02</x:v>
      </x:c>
      <x:c r="C994" s="18" t="n">
        <x:v>1765.03</x:v>
      </x:c>
      <x:c r="D994" s="18" t="n">
        <x:v>1745.95</x:v>
      </x:c>
      <x:c r="E994" s="18" t="n">
        <x:v>1762.87</x:v>
      </x:c>
      <x:c r="F994" s="19" t="n">
        <x:v>94004</x:v>
      </x:c>
    </x:row>
    <x:row r="995">
      <x:c r="A995" s="17" t="n">
        <x:v>44476</x:v>
      </x:c>
      <x:c r="B995" s="18" t="n">
        <x:v>1762.95</x:v>
      </x:c>
      <x:c r="C995" s="18" t="n">
        <x:v>1766.91</x:v>
      </x:c>
      <x:c r="D995" s="18" t="n">
        <x:v>1751.97</x:v>
      </x:c>
      <x:c r="E995" s="18" t="n">
        <x:v>1754.91</x:v>
      </x:c>
      <x:c r="F995" s="19" t="n">
        <x:v>76394</x:v>
      </x:c>
    </x:row>
    <x:row r="996">
      <x:c r="A996" s="17" t="n">
        <x:v>44477</x:v>
      </x:c>
      <x:c r="B996" s="18" t="n">
        <x:v>1755.94</x:v>
      </x:c>
      <x:c r="C996" s="18" t="n">
        <x:v>1781.27</x:v>
      </x:c>
      <x:c r="D996" s="18" t="n">
        <x:v>1753.45</x:v>
      </x:c>
      <x:c r="E996" s="18" t="n">
        <x:v>1757.1</x:v>
      </x:c>
      <x:c r="F996" s="19" t="n">
        <x:v>95076</x:v>
      </x:c>
    </x:row>
    <x:row r="997">
      <x:c r="A997" s="17" t="n">
        <x:v>44480</x:v>
      </x:c>
      <x:c r="B997" s="18" t="n">
        <x:v>1756.97</x:v>
      </x:c>
      <x:c r="C997" s="18" t="n">
        <x:v>1760.97</x:v>
      </x:c>
      <x:c r="D997" s="18" t="n">
        <x:v>1750.18</x:v>
      </x:c>
      <x:c r="E997" s="18" t="n">
        <x:v>1754.11</x:v>
      </x:c>
      <x:c r="F997" s="19" t="n">
        <x:v>75370</x:v>
      </x:c>
    </x:row>
    <x:row r="998">
      <x:c r="A998" s="17" t="n">
        <x:v>44481</x:v>
      </x:c>
      <x:c r="B998" s="18" t="n">
        <x:v>1753.79</x:v>
      </x:c>
      <x:c r="C998" s="18" t="n">
        <x:v>1769.31</x:v>
      </x:c>
      <x:c r="D998" s="18" t="n">
        <x:v>1750.8</x:v>
      </x:c>
      <x:c r="E998" s="18" t="n">
        <x:v>1760.19</x:v>
      </x:c>
      <x:c r="F998" s="19" t="n">
        <x:v>85568</x:v>
      </x:c>
    </x:row>
    <x:row r="999">
      <x:c r="A999" s="17" t="n">
        <x:v>44482</x:v>
      </x:c>
      <x:c r="B999" s="18" t="n">
        <x:v>1760.7</x:v>
      </x:c>
      <x:c r="C999" s="18" t="n">
        <x:v>1796.15</x:v>
      </x:c>
      <x:c r="D999" s="18" t="n">
        <x:v>1757.91</x:v>
      </x:c>
      <x:c r="E999" s="18" t="n">
        <x:v>1792.75</x:v>
      </x:c>
      <x:c r="F999" s="19" t="n">
        <x:v>102178</x:v>
      </x:c>
    </x:row>
    <x:row r="1000">
      <x:c r="A1000" s="17" t="n">
        <x:v>44483</x:v>
      </x:c>
      <x:c r="B1000" s="18" t="n">
        <x:v>1793.03</x:v>
      </x:c>
      <x:c r="C1000" s="18" t="n">
        <x:v>1800.57</x:v>
      </x:c>
      <x:c r="D1000" s="18" t="n">
        <x:v>1786.75</x:v>
      </x:c>
      <x:c r="E1000" s="18" t="n">
        <x:v>1795.92</x:v>
      </x:c>
      <x:c r="F1000" s="19" t="n">
        <x:v>79665</x:v>
      </x:c>
    </x:row>
    <x:row r="1001">
      <x:c r="A1001" s="17" t="n">
        <x:v>44484</x:v>
      </x:c>
      <x:c r="B1001" s="18" t="n">
        <x:v>1796.02</x:v>
      </x:c>
      <x:c r="C1001" s="18" t="n">
        <x:v>1796.47</x:v>
      </x:c>
      <x:c r="D1001" s="18" t="n">
        <x:v>1764.93</x:v>
      </x:c>
      <x:c r="E1001" s="18" t="n">
        <x:v>1767.42</x:v>
      </x:c>
      <x:c r="F1001" s="19" t="n">
        <x:v>91079</x:v>
      </x:c>
    </x:row>
    <x:row r="1002">
      <x:c r="A1002" s="17" t="n">
        <x:v>44487</x:v>
      </x:c>
      <x:c r="B1002" s="18" t="n">
        <x:v>1767.18</x:v>
      </x:c>
      <x:c r="C1002" s="18" t="n">
        <x:v>1772.04</x:v>
      </x:c>
      <x:c r="D1002" s="18" t="n">
        <x:v>1760.31</x:v>
      </x:c>
      <x:c r="E1002" s="18" t="n">
        <x:v>1764.53</x:v>
      </x:c>
      <x:c r="F1002" s="19" t="n">
        <x:v>100833</x:v>
      </x:c>
    </x:row>
    <x:row r="1003">
      <x:c r="A1003" s="17" t="n">
        <x:v>44488</x:v>
      </x:c>
      <x:c r="B1003" s="18" t="n">
        <x:v>1764.93</x:v>
      </x:c>
      <x:c r="C1003" s="18" t="n">
        <x:v>1785.11</x:v>
      </x:c>
      <x:c r="D1003" s="18" t="n">
        <x:v>1763</x:v>
      </x:c>
      <x:c r="E1003" s="18" t="n">
        <x:v>1768.99</x:v>
      </x:c>
      <x:c r="F1003" s="19" t="n">
        <x:v>95022</x:v>
      </x:c>
    </x:row>
    <x:row r="1004">
      <x:c r="A1004" s="17" t="n">
        <x:v>44489</x:v>
      </x:c>
      <x:c r="B1004" s="18" t="n">
        <x:v>1769.43</x:v>
      </x:c>
      <x:c r="C1004" s="18" t="n">
        <x:v>1788.44</x:v>
      </x:c>
      <x:c r="D1004" s="18" t="n">
        <x:v>1766.9</x:v>
      </x:c>
      <x:c r="E1004" s="18" t="n">
        <x:v>1782.06</x:v>
      </x:c>
      <x:c r="F1004" s="19" t="n">
        <x:v>94540</x:v>
      </x:c>
    </x:row>
    <x:row r="1005">
      <x:c r="A1005" s="17" t="n">
        <x:v>44490</x:v>
      </x:c>
      <x:c r="B1005" s="18" t="n">
        <x:v>1782.65</x:v>
      </x:c>
      <x:c r="C1005" s="18" t="n">
        <x:v>1789.44</x:v>
      </x:c>
      <x:c r="D1005" s="18" t="n">
        <x:v>1776.53</x:v>
      </x:c>
      <x:c r="E1005" s="18" t="n">
        <x:v>1783.32</x:v>
      </x:c>
      <x:c r="F1005" s="19" t="n">
        <x:v>98030</x:v>
      </x:c>
    </x:row>
    <x:row r="1006">
      <x:c r="A1006" s="17" t="n">
        <x:v>44491</x:v>
      </x:c>
      <x:c r="B1006" s="18" t="n">
        <x:v>1783.37</x:v>
      </x:c>
      <x:c r="C1006" s="18" t="n">
        <x:v>1813.79</x:v>
      </x:c>
      <x:c r="D1006" s="18" t="n">
        <x:v>1782.89</x:v>
      </x:c>
      <x:c r="E1006" s="18" t="n">
        <x:v>1792.67</x:v>
      </x:c>
      <x:c r="F1006" s="19" t="n">
        <x:v>109808</x:v>
      </x:c>
    </x:row>
    <x:row r="1007">
      <x:c r="A1007" s="17" t="n">
        <x:v>44494</x:v>
      </x:c>
      <x:c r="B1007" s="18" t="n">
        <x:v>1792.93</x:v>
      </x:c>
      <x:c r="C1007" s="18" t="n">
        <x:v>1809.99</x:v>
      </x:c>
      <x:c r="D1007" s="18" t="n">
        <x:v>1792.25</x:v>
      </x:c>
      <x:c r="E1007" s="18" t="n">
        <x:v>1807.43</x:v>
      </x:c>
      <x:c r="F1007" s="19" t="n">
        <x:v>95376</x:v>
      </x:c>
    </x:row>
    <x:row r="1008">
      <x:c r="A1008" s="17" t="n">
        <x:v>44495</x:v>
      </x:c>
      <x:c r="B1008" s="18" t="n">
        <x:v>1807.45</x:v>
      </x:c>
      <x:c r="C1008" s="18" t="n">
        <x:v>1808.39</x:v>
      </x:c>
      <x:c r="D1008" s="18" t="n">
        <x:v>1782.45</x:v>
      </x:c>
      <x:c r="E1008" s="18" t="n">
        <x:v>1793</x:v>
      </x:c>
      <x:c r="F1008" s="19" t="n">
        <x:v>89761</x:v>
      </x:c>
    </x:row>
    <x:row r="1009">
      <x:c r="A1009" s="17" t="n">
        <x:v>44496</x:v>
      </x:c>
      <x:c r="B1009" s="18" t="n">
        <x:v>1793.08</x:v>
      </x:c>
      <x:c r="C1009" s="18" t="n">
        <x:v>1799.05</x:v>
      </x:c>
      <x:c r="D1009" s="18" t="n">
        <x:v>1783.54</x:v>
      </x:c>
      <x:c r="E1009" s="18" t="n">
        <x:v>1796.89</x:v>
      </x:c>
      <x:c r="F1009" s="19" t="n">
        <x:v>98026</x:v>
      </x:c>
    </x:row>
    <x:row r="1010">
      <x:c r="A1010" s="17" t="n">
        <x:v>44497</x:v>
      </x:c>
      <x:c r="B1010" s="18" t="n">
        <x:v>1796.75</x:v>
      </x:c>
      <x:c r="C1010" s="18" t="n">
        <x:v>1810.38</x:v>
      </x:c>
      <x:c r="D1010" s="18" t="n">
        <x:v>1792.25</x:v>
      </x:c>
      <x:c r="E1010" s="18" t="n">
        <x:v>1798.81</x:v>
      </x:c>
      <x:c r="F1010" s="19" t="n">
        <x:v>111028</x:v>
      </x:c>
    </x:row>
    <x:row r="1011">
      <x:c r="A1011" s="17" t="n">
        <x:v>44498</x:v>
      </x:c>
      <x:c r="B1011" s="18" t="n">
        <x:v>1799.49</x:v>
      </x:c>
      <x:c r="C1011" s="18" t="n">
        <x:v>1801.2</x:v>
      </x:c>
      <x:c r="D1011" s="18" t="n">
        <x:v>1771.98</x:v>
      </x:c>
      <x:c r="E1011" s="18" t="n">
        <x:v>1782.98</x:v>
      </x:c>
      <x:c r="F1011" s="19" t="n">
        <x:v>118861</x:v>
      </x:c>
    </x:row>
    <x:row r="1012">
      <x:c r="A1012" s="17" t="n">
        <x:v>44501</x:v>
      </x:c>
      <x:c r="B1012" s="18" t="n">
        <x:v>1783.36</x:v>
      </x:c>
      <x:c r="C1012" s="18" t="n">
        <x:v>1795.79</x:v>
      </x:c>
      <x:c r="D1012" s="18" t="n">
        <x:v>1779.12</x:v>
      </x:c>
      <x:c r="E1012" s="18" t="n">
        <x:v>1793.2</x:v>
      </x:c>
      <x:c r="F1012" s="19" t="n">
        <x:v>88126</x:v>
      </x:c>
    </x:row>
    <x:row r="1013">
      <x:c r="A1013" s="17" t="n">
        <x:v>44502</x:v>
      </x:c>
      <x:c r="B1013" s="18" t="n">
        <x:v>1792.82</x:v>
      </x:c>
      <x:c r="C1013" s="18" t="n">
        <x:v>1796.4</x:v>
      </x:c>
      <x:c r="D1013" s="18" t="n">
        <x:v>1786.41</x:v>
      </x:c>
      <x:c r="E1013" s="18" t="n">
        <x:v>1787.84</x:v>
      </x:c>
      <x:c r="F1013" s="19" t="n">
        <x:v>80400</x:v>
      </x:c>
    </x:row>
    <x:row r="1014">
      <x:c r="A1014" s="17" t="n">
        <x:v>44503</x:v>
      </x:c>
      <x:c r="B1014" s="18" t="n">
        <x:v>1787.63</x:v>
      </x:c>
      <x:c r="C1014" s="18" t="n">
        <x:v>1788.2</x:v>
      </x:c>
      <x:c r="D1014" s="18" t="n">
        <x:v>1758.07</x:v>
      </x:c>
      <x:c r="E1014" s="18" t="n">
        <x:v>1769.89</x:v>
      </x:c>
      <x:c r="F1014" s="19" t="n">
        <x:v>95424</x:v>
      </x:c>
    </x:row>
    <x:row r="1015">
      <x:c r="A1015" s="17" t="n">
        <x:v>44504</x:v>
      </x:c>
      <x:c r="B1015" s="18" t="n">
        <x:v>1771.35</x:v>
      </x:c>
      <x:c r="C1015" s="18" t="n">
        <x:v>1798.9</x:v>
      </x:c>
      <x:c r="D1015" s="18" t="n">
        <x:v>1770.86</x:v>
      </x:c>
      <x:c r="E1015" s="18" t="n">
        <x:v>1791.71</x:v>
      </x:c>
      <x:c r="F1015" s="19" t="n">
        <x:v>89121</x:v>
      </x:c>
    </x:row>
    <x:row r="1016">
      <x:c r="A1016" s="17" t="n">
        <x:v>44505</x:v>
      </x:c>
      <x:c r="B1016" s="18" t="n">
        <x:v>1791.11</x:v>
      </x:c>
      <x:c r="C1016" s="18" t="n">
        <x:v>1818.27</x:v>
      </x:c>
      <x:c r="D1016" s="18" t="n">
        <x:v>1785.1</x:v>
      </x:c>
      <x:c r="E1016" s="18" t="n">
        <x:v>1817.84</x:v>
      </x:c>
      <x:c r="F1016" s="19" t="n">
        <x:v>98757</x:v>
      </x:c>
    </x:row>
    <x:row r="1017">
      <x:c r="A1017" s="17" t="n">
        <x:v>44508</x:v>
      </x:c>
      <x:c r="B1017" s="18" t="n">
        <x:v>1815.69</x:v>
      </x:c>
      <x:c r="C1017" s="18" t="n">
        <x:v>1826.44</x:v>
      </x:c>
      <x:c r="D1017" s="18" t="n">
        <x:v>1812.46</x:v>
      </x:c>
      <x:c r="E1017" s="18" t="n">
        <x:v>1824.14</x:v>
      </x:c>
      <x:c r="F1017" s="19" t="n">
        <x:v>86785</x:v>
      </x:c>
    </x:row>
    <x:row r="1018">
      <x:c r="A1018" s="17" t="n">
        <x:v>44509</x:v>
      </x:c>
      <x:c r="B1018" s="18" t="n">
        <x:v>1824.28</x:v>
      </x:c>
      <x:c r="C1018" s="18" t="n">
        <x:v>1832.7</x:v>
      </x:c>
      <x:c r="D1018" s="18" t="n">
        <x:v>1819.23</x:v>
      </x:c>
      <x:c r="E1018" s="18" t="n">
        <x:v>1831.68</x:v>
      </x:c>
      <x:c r="F1018" s="19" t="n">
        <x:v>87840</x:v>
      </x:c>
    </x:row>
    <x:row r="1019">
      <x:c r="A1019" s="17" t="n">
        <x:v>44510</x:v>
      </x:c>
      <x:c r="B1019" s="18" t="n">
        <x:v>1831.6</x:v>
      </x:c>
      <x:c r="C1019" s="18" t="n">
        <x:v>1868.55</x:v>
      </x:c>
      <x:c r="D1019" s="18" t="n">
        <x:v>1822.32</x:v>
      </x:c>
      <x:c r="E1019" s="18" t="n">
        <x:v>1848.97</x:v>
      </x:c>
      <x:c r="F1019" s="19" t="n">
        <x:v>104451</x:v>
      </x:c>
    </x:row>
    <x:row r="1020">
      <x:c r="A1020" s="17" t="n">
        <x:v>44511</x:v>
      </x:c>
      <x:c r="B1020" s="18" t="n">
        <x:v>1848.98</x:v>
      </x:c>
      <x:c r="C1020" s="18" t="n">
        <x:v>1866</x:v>
      </x:c>
      <x:c r="D1020" s="18" t="n">
        <x:v>1842.88</x:v>
      </x:c>
      <x:c r="E1020" s="18" t="n">
        <x:v>1861.77</x:v>
      </x:c>
      <x:c r="F1020" s="19" t="n">
        <x:v>73362</x:v>
      </x:c>
    </x:row>
    <x:row r="1021">
      <x:c r="A1021" s="17" t="n">
        <x:v>44512</x:v>
      </x:c>
      <x:c r="B1021" s="18" t="n">
        <x:v>1861.75</x:v>
      </x:c>
      <x:c r="C1021" s="18" t="n">
        <x:v>1868.61</x:v>
      </x:c>
      <x:c r="D1021" s="18" t="n">
        <x:v>1845.2</x:v>
      </x:c>
      <x:c r="E1021" s="18" t="n">
        <x:v>1864.35</x:v>
      </x:c>
      <x:c r="F1021" s="19" t="n">
        <x:v>86565</x:v>
      </x:c>
    </x:row>
    <x:row r="1022">
      <x:c r="A1022" s="17" t="n">
        <x:v>44515</x:v>
      </x:c>
      <x:c r="B1022" s="18" t="n">
        <x:v>1866.79</x:v>
      </x:c>
      <x:c r="C1022" s="18" t="n">
        <x:v>1870.3</x:v>
      </x:c>
      <x:c r="D1022" s="18" t="n">
        <x:v>1856.38</x:v>
      </x:c>
      <x:c r="E1022" s="18" t="n">
        <x:v>1862.71</x:v>
      </x:c>
      <x:c r="F1022" s="19" t="n">
        <x:v>78903</x:v>
      </x:c>
    </x:row>
    <x:row r="1023">
      <x:c r="A1023" s="17" t="n">
        <x:v>44516</x:v>
      </x:c>
      <x:c r="B1023" s="18" t="n">
        <x:v>1863.07</x:v>
      </x:c>
      <x:c r="C1023" s="18" t="n">
        <x:v>1877.23</x:v>
      </x:c>
      <x:c r="D1023" s="18" t="n">
        <x:v>1849.67</x:v>
      </x:c>
      <x:c r="E1023" s="18" t="n">
        <x:v>1849.98</x:v>
      </x:c>
      <x:c r="F1023" s="19" t="n">
        <x:v>96336</x:v>
      </x:c>
    </x:row>
    <x:row r="1024">
      <x:c r="A1024" s="17" t="n">
        <x:v>44517</x:v>
      </x:c>
      <x:c r="B1024" s="18" t="n">
        <x:v>1850.24</x:v>
      </x:c>
      <x:c r="C1024" s="18" t="n">
        <x:v>1868.03</x:v>
      </x:c>
      <x:c r="D1024" s="18" t="n">
        <x:v>1849.53</x:v>
      </x:c>
      <x:c r="E1024" s="18" t="n">
        <x:v>1867.39</x:v>
      </x:c>
      <x:c r="F1024" s="19" t="n">
        <x:v>83204</x:v>
      </x:c>
    </x:row>
    <x:row r="1025">
      <x:c r="A1025" s="17" t="n">
        <x:v>44518</x:v>
      </x:c>
      <x:c r="B1025" s="18" t="n">
        <x:v>1866.24</x:v>
      </x:c>
      <x:c r="C1025" s="18" t="n">
        <x:v>1870.94</x:v>
      </x:c>
      <x:c r="D1025" s="18" t="n">
        <x:v>1855.03</x:v>
      </x:c>
      <x:c r="E1025" s="18" t="n">
        <x:v>1858.81</x:v>
      </x:c>
      <x:c r="F1025" s="19" t="n">
        <x:v>82994</x:v>
      </x:c>
    </x:row>
    <x:row r="1026">
      <x:c r="A1026" s="17" t="n">
        <x:v>44519</x:v>
      </x:c>
      <x:c r="B1026" s="18" t="n">
        <x:v>1859.19</x:v>
      </x:c>
      <x:c r="C1026" s="18" t="n">
        <x:v>1865.72</x:v>
      </x:c>
      <x:c r="D1026" s="18" t="n">
        <x:v>1843</x:v>
      </x:c>
      <x:c r="E1026" s="18" t="n">
        <x:v>1845.7</x:v>
      </x:c>
      <x:c r="F1026" s="19" t="n">
        <x:v>99128</x:v>
      </x:c>
    </x:row>
    <x:row r="1027">
      <x:c r="A1027" s="17" t="n">
        <x:v>44522</x:v>
      </x:c>
      <x:c r="B1027" s="18" t="n">
        <x:v>1842.19</x:v>
      </x:c>
      <x:c r="C1027" s="18" t="n">
        <x:v>1849.15</x:v>
      </x:c>
      <x:c r="D1027" s="18" t="n">
        <x:v>1802.28</x:v>
      </x:c>
      <x:c r="E1027" s="18" t="n">
        <x:v>1804.77</x:v>
      </x:c>
      <x:c r="F1027" s="19" t="n">
        <x:v>111380</x:v>
      </x:c>
    </x:row>
    <x:row r="1028">
      <x:c r="A1028" s="17" t="n">
        <x:v>44523</x:v>
      </x:c>
      <x:c r="B1028" s="18" t="n">
        <x:v>1808</x:v>
      </x:c>
      <x:c r="C1028" s="18" t="n">
        <x:v>1812.45</x:v>
      </x:c>
      <x:c r="D1028" s="18" t="n">
        <x:v>1782</x:v>
      </x:c>
      <x:c r="E1028" s="18" t="n">
        <x:v>1789.28</x:v>
      </x:c>
      <x:c r="F1028" s="19" t="n">
        <x:v>107732</x:v>
      </x:c>
    </x:row>
    <x:row r="1029">
      <x:c r="A1029" s="17" t="n">
        <x:v>44524</x:v>
      </x:c>
      <x:c r="B1029" s="18" t="n">
        <x:v>1789.1</x:v>
      </x:c>
      <x:c r="C1029" s="18" t="n">
        <x:v>1796.34</x:v>
      </x:c>
      <x:c r="D1029" s="18" t="n">
        <x:v>1778.54</x:v>
      </x:c>
      <x:c r="E1029" s="18" t="n">
        <x:v>1788.64</x:v>
      </x:c>
      <x:c r="F1029" s="19" t="n">
        <x:v>100596</x:v>
      </x:c>
    </x:row>
    <x:row r="1030">
      <x:c r="A1030" s="17" t="n">
        <x:v>44525</x:v>
      </x:c>
      <x:c r="B1030" s="18" t="n">
        <x:v>1787.93</x:v>
      </x:c>
      <x:c r="C1030" s="18" t="n">
        <x:v>1795.04</x:v>
      </x:c>
      <x:c r="D1030" s="18" t="n">
        <x:v>1786.01</x:v>
      </x:c>
      <x:c r="E1030" s="18" t="n">
        <x:v>1788.42</x:v>
      </x:c>
      <x:c r="F1030" s="19" t="n">
        <x:v>43784</x:v>
      </x:c>
    </x:row>
    <x:row r="1031">
      <x:c r="A1031" s="17" t="n">
        <x:v>44526</x:v>
      </x:c>
      <x:c r="B1031" s="18" t="n">
        <x:v>1790.47</x:v>
      </x:c>
      <x:c r="C1031" s="18" t="n">
        <x:v>1815.55</x:v>
      </x:c>
      <x:c r="D1031" s="18" t="n">
        <x:v>1780.4</x:v>
      </x:c>
      <x:c r="E1031" s="18" t="n">
        <x:v>1790.86</x:v>
      </x:c>
      <x:c r="F1031" s="19" t="n">
        <x:v>103879</x:v>
      </x:c>
    </x:row>
    <x:row r="1032">
      <x:c r="A1032" s="17" t="n">
        <x:v>44529</x:v>
      </x:c>
      <x:c r="B1032" s="18" t="n">
        <x:v>1788.53</x:v>
      </x:c>
      <x:c r="C1032" s="18" t="n">
        <x:v>1799.39</x:v>
      </x:c>
      <x:c r="D1032" s="18" t="n">
        <x:v>1777.64</x:v>
      </x:c>
      <x:c r="E1032" s="18" t="n">
        <x:v>1784.96</x:v>
      </x:c>
      <x:c r="F1032" s="19" t="n">
        <x:v>83509</x:v>
      </x:c>
    </x:row>
    <x:row r="1033">
      <x:c r="A1033" s="17" t="n">
        <x:v>44530</x:v>
      </x:c>
      <x:c r="B1033" s="18" t="n">
        <x:v>1785.12</x:v>
      </x:c>
      <x:c r="C1033" s="18" t="n">
        <x:v>1808.74</x:v>
      </x:c>
      <x:c r="D1033" s="18" t="n">
        <x:v>1769.82</x:v>
      </x:c>
      <x:c r="E1033" s="18" t="n">
        <x:v>1774.43</x:v>
      </x:c>
      <x:c r="F1033" s="19" t="n">
        <x:v>117288</x:v>
      </x:c>
    </x:row>
    <x:row r="1034">
      <x:c r="A1034" s="17" t="n">
        <x:v>44531</x:v>
      </x:c>
      <x:c r="B1034" s="18" t="n">
        <x:v>1775.91</x:v>
      </x:c>
      <x:c r="C1034" s="18" t="n">
        <x:v>1794.41</x:v>
      </x:c>
      <x:c r="D1034" s="18" t="n">
        <x:v>1772.17</x:v>
      </x:c>
      <x:c r="E1034" s="18" t="n">
        <x:v>1781.88</x:v>
      </x:c>
      <x:c r="F1034" s="19" t="n">
        <x:v>111262</x:v>
      </x:c>
    </x:row>
    <x:row r="1035">
      <x:c r="A1035" s="17" t="n">
        <x:v>44532</x:v>
      </x:c>
      <x:c r="B1035" s="18" t="n">
        <x:v>1781.48</x:v>
      </x:c>
      <x:c r="C1035" s="18" t="n">
        <x:v>1783.38</x:v>
      </x:c>
      <x:c r="D1035" s="18" t="n">
        <x:v>1761.97</x:v>
      </x:c>
      <x:c r="E1035" s="18" t="n">
        <x:v>1768.4</x:v>
      </x:c>
      <x:c r="F1035" s="19" t="n">
        <x:v>114608</x:v>
      </x:c>
    </x:row>
    <x:row r="1036">
      <x:c r="A1036" s="17" t="n">
        <x:v>44533</x:v>
      </x:c>
      <x:c r="B1036" s="18" t="n">
        <x:v>1769.67</x:v>
      </x:c>
      <x:c r="C1036" s="18" t="n">
        <x:v>1786.12</x:v>
      </x:c>
      <x:c r="D1036" s="18" t="n">
        <x:v>1766.15</x:v>
      </x:c>
      <x:c r="E1036" s="18" t="n">
        <x:v>1783.88</x:v>
      </x:c>
      <x:c r="F1036" s="19" t="n">
        <x:v>113243</x:v>
      </x:c>
    </x:row>
    <x:row r="1037">
      <x:c r="A1037" s="17" t="n">
        <x:v>44536</x:v>
      </x:c>
      <x:c r="B1037" s="18" t="n">
        <x:v>1782</x:v>
      </x:c>
      <x:c r="C1037" s="18" t="n">
        <x:v>1787.71</x:v>
      </x:c>
      <x:c r="D1037" s="18" t="n">
        <x:v>1775.74</x:v>
      </x:c>
      <x:c r="E1037" s="18" t="n">
        <x:v>1778.37</x:v>
      </x:c>
      <x:c r="F1037" s="19" t="n">
        <x:v>94257</x:v>
      </x:c>
    </x:row>
    <x:row r="1038">
      <x:c r="A1038" s="17" t="n">
        <x:v>44537</x:v>
      </x:c>
      <x:c r="B1038" s="18" t="n">
        <x:v>1778.93</x:v>
      </x:c>
      <x:c r="C1038" s="18" t="n">
        <x:v>1787.68</x:v>
      </x:c>
      <x:c r="D1038" s="18" t="n">
        <x:v>1772.35</x:v>
      </x:c>
      <x:c r="E1038" s="18" t="n">
        <x:v>1784.16</x:v>
      </x:c>
      <x:c r="F1038" s="19" t="n">
        <x:v>82219</x:v>
      </x:c>
    </x:row>
    <x:row r="1039">
      <x:c r="A1039" s="17" t="n">
        <x:v>44538</x:v>
      </x:c>
      <x:c r="B1039" s="18" t="n">
        <x:v>1784.6</x:v>
      </x:c>
      <x:c r="C1039" s="18" t="n">
        <x:v>1793.15</x:v>
      </x:c>
      <x:c r="D1039" s="18" t="n">
        <x:v>1779.64</x:v>
      </x:c>
      <x:c r="E1039" s="18" t="n">
        <x:v>1782.49</x:v>
      </x:c>
      <x:c r="F1039" s="19" t="n">
        <x:v>86165</x:v>
      </x:c>
    </x:row>
    <x:row r="1040">
      <x:c r="A1040" s="17" t="n">
        <x:v>44539</x:v>
      </x:c>
      <x:c r="B1040" s="18" t="n">
        <x:v>1783.08</x:v>
      </x:c>
      <x:c r="C1040" s="18" t="n">
        <x:v>1787.64</x:v>
      </x:c>
      <x:c r="D1040" s="18" t="n">
        <x:v>1773.27</x:v>
      </x:c>
      <x:c r="E1040" s="18" t="n">
        <x:v>1775.13</x:v>
      </x:c>
      <x:c r="F1040" s="19" t="n">
        <x:v>83436</x:v>
      </x:c>
    </x:row>
    <x:row r="1041">
      <x:c r="A1041" s="17" t="n">
        <x:v>44540</x:v>
      </x:c>
      <x:c r="B1041" s="18" t="n">
        <x:v>1775.99</x:v>
      </x:c>
      <x:c r="C1041" s="18" t="n">
        <x:v>1789.41</x:v>
      </x:c>
      <x:c r="D1041" s="18" t="n">
        <x:v>1770.1</x:v>
      </x:c>
      <x:c r="E1041" s="18" t="n">
        <x:v>1782.82</x:v>
      </x:c>
      <x:c r="F1041" s="19" t="n">
        <x:v>82249</x:v>
      </x:c>
    </x:row>
    <x:row r="1042">
      <x:c r="A1042" s="17" t="n">
        <x:v>44543</x:v>
      </x:c>
      <x:c r="B1042" s="18" t="n">
        <x:v>1782.77</x:v>
      </x:c>
      <x:c r="C1042" s="18" t="n">
        <x:v>1791.57</x:v>
      </x:c>
      <x:c r="D1042" s="18" t="n">
        <x:v>1781.83</x:v>
      </x:c>
      <x:c r="E1042" s="18" t="n">
        <x:v>1786.99</x:v>
      </x:c>
      <x:c r="F1042" s="19" t="n">
        <x:v>75375</x:v>
      </x:c>
    </x:row>
    <x:row r="1043">
      <x:c r="A1043" s="17" t="n">
        <x:v>44544</x:v>
      </x:c>
      <x:c r="B1043" s="18" t="n">
        <x:v>1785.95</x:v>
      </x:c>
      <x:c r="C1043" s="18" t="n">
        <x:v>1789.53</x:v>
      </x:c>
      <x:c r="D1043" s="18" t="n">
        <x:v>1766.43</x:v>
      </x:c>
      <x:c r="E1043" s="18" t="n">
        <x:v>1770.58</x:v>
      </x:c>
      <x:c r="F1043" s="19" t="n">
        <x:v>82804</x:v>
      </x:c>
    </x:row>
    <x:row r="1044">
      <x:c r="A1044" s="17" t="n">
        <x:v>44545</x:v>
      </x:c>
      <x:c r="B1044" s="18" t="n">
        <x:v>1771.44</x:v>
      </x:c>
      <x:c r="C1044" s="18" t="n">
        <x:v>1780.85</x:v>
      </x:c>
      <x:c r="D1044" s="18" t="n">
        <x:v>1752.34</x:v>
      </x:c>
      <x:c r="E1044" s="18" t="n">
        <x:v>1777.09</x:v>
      </x:c>
      <x:c r="F1044" s="19" t="n">
        <x:v>97659</x:v>
      </x:c>
    </x:row>
    <x:row r="1045">
      <x:c r="A1045" s="17" t="n">
        <x:v>44546</x:v>
      </x:c>
      <x:c r="B1045" s="18" t="n">
        <x:v>1778.34</x:v>
      </x:c>
      <x:c r="C1045" s="18" t="n">
        <x:v>1799.55</x:v>
      </x:c>
      <x:c r="D1045" s="18" t="n">
        <x:v>1775.54</x:v>
      </x:c>
      <x:c r="E1045" s="18" t="n">
        <x:v>1799.02</x:v>
      </x:c>
      <x:c r="F1045" s="19" t="n">
        <x:v>99122</x:v>
      </x:c>
    </x:row>
    <x:row r="1046">
      <x:c r="A1046" s="17" t="n">
        <x:v>44547</x:v>
      </x:c>
      <x:c r="B1046" s="18" t="n">
        <x:v>1798.39</x:v>
      </x:c>
      <x:c r="C1046" s="18" t="n">
        <x:v>1814.28</x:v>
      </x:c>
      <x:c r="D1046" s="18" t="n">
        <x:v>1795.94</x:v>
      </x:c>
      <x:c r="E1046" s="18" t="n">
        <x:v>1797.98</x:v>
      </x:c>
      <x:c r="F1046" s="19" t="n">
        <x:v>90843</x:v>
      </x:c>
    </x:row>
    <x:row r="1047">
      <x:c r="A1047" s="17" t="n">
        <x:v>44550</x:v>
      </x:c>
      <x:c r="B1047" s="18" t="n">
        <x:v>1800.31</x:v>
      </x:c>
      <x:c r="C1047" s="18" t="n">
        <x:v>1804.21</x:v>
      </x:c>
      <x:c r="D1047" s="18" t="n">
        <x:v>1788.29</x:v>
      </x:c>
      <x:c r="E1047" s="18" t="n">
        <x:v>1790.3</x:v>
      </x:c>
      <x:c r="F1047" s="19" t="n">
        <x:v>97492</x:v>
      </x:c>
    </x:row>
    <x:row r="1048">
      <x:c r="A1048" s="17" t="n">
        <x:v>44551</x:v>
      </x:c>
      <x:c r="B1048" s="18" t="n">
        <x:v>1790.8</x:v>
      </x:c>
      <x:c r="C1048" s="18" t="n">
        <x:v>1800.52</x:v>
      </x:c>
      <x:c r="D1048" s="18" t="n">
        <x:v>1785</x:v>
      </x:c>
      <x:c r="E1048" s="18" t="n">
        <x:v>1788.63</x:v>
      </x:c>
      <x:c r="F1048" s="19" t="n">
        <x:v>82073</x:v>
      </x:c>
    </x:row>
    <x:row r="1049">
      <x:c r="A1049" s="17" t="n">
        <x:v>44552</x:v>
      </x:c>
      <x:c r="B1049" s="18" t="n">
        <x:v>1788.87</x:v>
      </x:c>
      <x:c r="C1049" s="18" t="n">
        <x:v>1804.92</x:v>
      </x:c>
      <x:c r="D1049" s="18" t="n">
        <x:v>1785.86</x:v>
      </x:c>
      <x:c r="E1049" s="18" t="n">
        <x:v>1803.54</x:v>
      </x:c>
      <x:c r="F1049" s="19" t="n">
        <x:v>72738</x:v>
      </x:c>
    </x:row>
    <x:row r="1050">
      <x:c r="A1050" s="17" t="n">
        <x:v>44553</x:v>
      </x:c>
      <x:c r="B1050" s="18" t="n">
        <x:v>1803.13</x:v>
      </x:c>
      <x:c r="C1050" s="18" t="n">
        <x:v>1810.63</x:v>
      </x:c>
      <x:c r="D1050" s="18" t="n">
        <x:v>1798.9</x:v>
      </x:c>
      <x:c r="E1050" s="18" t="n">
        <x:v>1807.76</x:v>
      </x:c>
      <x:c r="F1050" s="19" t="n">
        <x:v>66632</x:v>
      </x:c>
    </x:row>
    <x:row r="1051">
      <x:c r="A1051" s="17" t="n">
        <x:v>44557</x:v>
      </x:c>
      <x:c r="B1051" s="18" t="n">
        <x:v>1805.97</x:v>
      </x:c>
      <x:c r="C1051" s="18" t="n">
        <x:v>1813.47</x:v>
      </x:c>
      <x:c r="D1051" s="18" t="n">
        <x:v>1802.92</x:v>
      </x:c>
      <x:c r="E1051" s="18" t="n">
        <x:v>1811.82</x:v>
      </x:c>
      <x:c r="F1051" s="19" t="n">
        <x:v>66267</x:v>
      </x:c>
    </x:row>
    <x:row r="1052">
      <x:c r="A1052" s="17" t="n">
        <x:v>44558</x:v>
      </x:c>
      <x:c r="B1052" s="18" t="n">
        <x:v>1811.55</x:v>
      </x:c>
      <x:c r="C1052" s="18" t="n">
        <x:v>1820.18</x:v>
      </x:c>
      <x:c r="D1052" s="18" t="n">
        <x:v>1805.05</x:v>
      </x:c>
      <x:c r="E1052" s="18" t="n">
        <x:v>1806.13</x:v>
      </x:c>
      <x:c r="F1052" s="19" t="n">
        <x:v>65449</x:v>
      </x:c>
    </x:row>
    <x:row r="1053">
      <x:c r="A1053" s="17" t="n">
        <x:v>44559</x:v>
      </x:c>
      <x:c r="B1053" s="18" t="n">
        <x:v>1806.56</x:v>
      </x:c>
      <x:c r="C1053" s="18" t="n">
        <x:v>1807.71</x:v>
      </x:c>
      <x:c r="D1053" s="18" t="n">
        <x:v>1789.47</x:v>
      </x:c>
      <x:c r="E1053" s="18" t="n">
        <x:v>1803.9</x:v>
      </x:c>
      <x:c r="F1053" s="19" t="n">
        <x:v>74622</x:v>
      </x:c>
    </x:row>
    <x:row r="1054">
      <x:c r="A1054" s="17" t="n">
        <x:v>44560</x:v>
      </x:c>
      <x:c r="B1054" s="18" t="n">
        <x:v>1803.71</x:v>
      </x:c>
      <x:c r="C1054" s="18" t="n">
        <x:v>1817.21</x:v>
      </x:c>
      <x:c r="D1054" s="18" t="n">
        <x:v>1796.12</x:v>
      </x:c>
      <x:c r="E1054" s="18" t="n">
        <x:v>1815.08</x:v>
      </x:c>
      <x:c r="F1054" s="19" t="n">
        <x:v>71293</x:v>
      </x:c>
    </x:row>
    <x:row r="1055">
      <x:c r="A1055" s="17" t="n">
        <x:v>44561</x:v>
      </x:c>
      <x:c r="B1055" s="18" t="n">
        <x:v>1814.64</x:v>
      </x:c>
      <x:c r="C1055" s="18" t="n">
        <x:v>1828.08</x:v>
      </x:c>
      <x:c r="D1055" s="18" t="n">
        <x:v>1814.2</x:v>
      </x:c>
      <x:c r="E1055" s="18" t="n">
        <x:v>1827.95</x:v>
      </x:c>
      <x:c r="F1055" s="19" t="n">
        <x:v>58510</x:v>
      </x:c>
    </x:row>
    <x:row r="1056">
      <x:c r="A1056" s="17" t="n">
        <x:v>44564</x:v>
      </x:c>
      <x:c r="B1056" s="18" t="n">
        <x:v>1830.63</x:v>
      </x:c>
      <x:c r="C1056" s="18" t="n">
        <x:v>1831.82</x:v>
      </x:c>
      <x:c r="D1056" s="18" t="n">
        <x:v>1798.32</x:v>
      </x:c>
      <x:c r="E1056" s="18" t="n">
        <x:v>1801.2</x:v>
      </x:c>
      <x:c r="F1056" s="19" t="n">
        <x:v>87227</x:v>
      </x:c>
    </x:row>
    <x:row r="1057">
      <x:c r="A1057" s="17" t="n">
        <x:v>44565</x:v>
      </x:c>
      <x:c r="B1057" s="18" t="n">
        <x:v>1802.46</x:v>
      </x:c>
      <x:c r="C1057" s="18" t="n">
        <x:v>1816.74</x:v>
      </x:c>
      <x:c r="D1057" s="18" t="n">
        <x:v>1798.51</x:v>
      </x:c>
      <x:c r="E1057" s="18" t="n">
        <x:v>1814.36</x:v>
      </x:c>
      <x:c r="F1057" s="19" t="n">
        <x:v>95966</x:v>
      </x:c>
    </x:row>
    <x:row r="1058">
      <x:c r="A1058" s="17" t="n">
        <x:v>44566</x:v>
      </x:c>
      <x:c r="B1058" s="18" t="n">
        <x:v>1813.84</x:v>
      </x:c>
      <x:c r="C1058" s="18" t="n">
        <x:v>1829.6</x:v>
      </x:c>
      <x:c r="D1058" s="18" t="n">
        <x:v>1808.32</x:v>
      </x:c>
      <x:c r="E1058" s="18" t="n">
        <x:v>1810.53</x:v>
      </x:c>
      <x:c r="F1058" s="19" t="n">
        <x:v>91086</x:v>
      </x:c>
    </x:row>
    <x:row r="1059">
      <x:c r="A1059" s="17" t="n">
        <x:v>44567</x:v>
      </x:c>
      <x:c r="B1059" s="18" t="n">
        <x:v>1810.06</x:v>
      </x:c>
      <x:c r="C1059" s="18" t="n">
        <x:v>1811.58</x:v>
      </x:c>
      <x:c r="D1059" s="18" t="n">
        <x:v>1786.5</x:v>
      </x:c>
      <x:c r="E1059" s="18" t="n">
        <x:v>1789.72</x:v>
      </x:c>
      <x:c r="F1059" s="19" t="n">
        <x:v>114463</x:v>
      </x:c>
    </x:row>
    <x:row r="1060">
      <x:c r="A1060" s="17" t="n">
        <x:v>44568</x:v>
      </x:c>
      <x:c r="B1060" s="18" t="n">
        <x:v>1791.18</x:v>
      </x:c>
      <x:c r="C1060" s="18" t="n">
        <x:v>1798.63</x:v>
      </x:c>
      <x:c r="D1060" s="18" t="n">
        <x:v>1782.64</x:v>
      </x:c>
      <x:c r="E1060" s="18" t="n">
        <x:v>1796.3</x:v>
      </x:c>
      <x:c r="F1060" s="19" t="n">
        <x:v>93200</x:v>
      </x:c>
    </x:row>
    <x:row r="1061">
      <x:c r="A1061" s="17" t="n">
        <x:v>44571</x:v>
      </x:c>
      <x:c r="B1061" s="18" t="n">
        <x:v>1794.95</x:v>
      </x:c>
      <x:c r="C1061" s="18" t="n">
        <x:v>1802.32</x:v>
      </x:c>
      <x:c r="D1061" s="18" t="n">
        <x:v>1790.36</x:v>
      </x:c>
      <x:c r="E1061" s="18" t="n">
        <x:v>1801.69</x:v>
      </x:c>
      <x:c r="F1061" s="19" t="n">
        <x:v>98141</x:v>
      </x:c>
    </x:row>
    <x:row r="1062">
      <x:c r="A1062" s="17" t="n">
        <x:v>44572</x:v>
      </x:c>
      <x:c r="B1062" s="18" t="n">
        <x:v>1800.41</x:v>
      </x:c>
      <x:c r="C1062" s="18" t="n">
        <x:v>1823.25</x:v>
      </x:c>
      <x:c r="D1062" s="18" t="n">
        <x:v>1799.97</x:v>
      </x:c>
      <x:c r="E1062" s="18" t="n">
        <x:v>1821.43</x:v>
      </x:c>
      <x:c r="F1062" s="19" t="n">
        <x:v>95816</x:v>
      </x:c>
    </x:row>
    <x:row r="1063">
      <x:c r="A1063" s="17" t="n">
        <x:v>44573</x:v>
      </x:c>
      <x:c r="B1063" s="18" t="n">
        <x:v>1820.14</x:v>
      </x:c>
      <x:c r="C1063" s="18" t="n">
        <x:v>1828.01</x:v>
      </x:c>
      <x:c r="D1063" s="18" t="n">
        <x:v>1814.71</x:v>
      </x:c>
      <x:c r="E1063" s="18" t="n">
        <x:v>1826.14</x:v>
      </x:c>
      <x:c r="F1063" s="19" t="n">
        <x:v>89178</x:v>
      </x:c>
    </x:row>
    <x:row r="1064">
      <x:c r="A1064" s="17" t="n">
        <x:v>44574</x:v>
      </x:c>
      <x:c r="B1064" s="18" t="n">
        <x:v>1825.78</x:v>
      </x:c>
      <x:c r="C1064" s="18" t="n">
        <x:v>1828.14</x:v>
      </x:c>
      <x:c r="D1064" s="18" t="n">
        <x:v>1812.35</x:v>
      </x:c>
      <x:c r="E1064" s="18" t="n">
        <x:v>1822.71</x:v>
      </x:c>
      <x:c r="F1064" s="19" t="n">
        <x:v>88822</x:v>
      </x:c>
    </x:row>
    <x:row r="1065">
      <x:c r="A1065" s="17" t="n">
        <x:v>44575</x:v>
      </x:c>
      <x:c r="B1065" s="18" t="n">
        <x:v>1821.49</x:v>
      </x:c>
      <x:c r="C1065" s="18" t="n">
        <x:v>1829.18</x:v>
      </x:c>
      <x:c r="D1065" s="18" t="n">
        <x:v>1814.7</x:v>
      </x:c>
      <x:c r="E1065" s="18" t="n">
        <x:v>1817.54</x:v>
      </x:c>
      <x:c r="F1065" s="19" t="n">
        <x:v>100708</x:v>
      </x:c>
    </x:row>
    <x:row r="1066">
      <x:c r="A1066" s="17" t="n">
        <x:v>44578</x:v>
      </x:c>
      <x:c r="B1066" s="18" t="n">
        <x:v>1817.35</x:v>
      </x:c>
      <x:c r="C1066" s="18" t="n">
        <x:v>1823.17</x:v>
      </x:c>
      <x:c r="D1066" s="18" t="n">
        <x:v>1813.2</x:v>
      </x:c>
      <x:c r="E1066" s="18" t="n">
        <x:v>1819.11</x:v>
      </x:c>
      <x:c r="F1066" s="19" t="n">
        <x:v>50418</x:v>
      </x:c>
    </x:row>
    <x:row r="1067">
      <x:c r="A1067" s="17" t="n">
        <x:v>44579</x:v>
      </x:c>
      <x:c r="B1067" s="18" t="n">
        <x:v>1818.27</x:v>
      </x:c>
      <x:c r="C1067" s="18" t="n">
        <x:v>1822.78</x:v>
      </x:c>
      <x:c r="D1067" s="18" t="n">
        <x:v>1805.79</x:v>
      </x:c>
      <x:c r="E1067" s="18" t="n">
        <x:v>1813.7</x:v>
      </x:c>
      <x:c r="F1067" s="19" t="n">
        <x:v>116659</x:v>
      </x:c>
    </x:row>
    <x:row r="1068">
      <x:c r="A1068" s="17" t="n">
        <x:v>44580</x:v>
      </x:c>
      <x:c r="B1068" s="18" t="n">
        <x:v>1814.08</x:v>
      </x:c>
      <x:c r="C1068" s="18" t="n">
        <x:v>1843.32</x:v>
      </x:c>
      <x:c r="D1068" s="18" t="n">
        <x:v>1810.25</x:v>
      </x:c>
      <x:c r="E1068" s="18" t="n">
        <x:v>1840.63</x:v>
      </x:c>
      <x:c r="F1068" s="19" t="n">
        <x:v>118270</x:v>
      </x:c>
    </x:row>
    <x:row r="1069">
      <x:c r="A1069" s="17" t="n">
        <x:v>44581</x:v>
      </x:c>
      <x:c r="B1069" s="18" t="n">
        <x:v>1840.2</x:v>
      </x:c>
      <x:c r="C1069" s="18" t="n">
        <x:v>1847.92</x:v>
      </x:c>
      <x:c r="D1069" s="18" t="n">
        <x:v>1835.95</x:v>
      </x:c>
      <x:c r="E1069" s="18" t="n">
        <x:v>1839.53</x:v>
      </x:c>
      <x:c r="F1069" s="19" t="n">
        <x:v>115018</x:v>
      </x:c>
    </x:row>
    <x:row r="1070">
      <x:c r="A1070" s="17" t="n">
        <x:v>44582</x:v>
      </x:c>
      <x:c r="B1070" s="18" t="n">
        <x:v>1839.26</x:v>
      </x:c>
      <x:c r="C1070" s="18" t="n">
        <x:v>1843.24</x:v>
      </x:c>
      <x:c r="D1070" s="18" t="n">
        <x:v>1828.39</x:v>
      </x:c>
      <x:c r="E1070" s="18" t="n">
        <x:v>1834.63</x:v>
      </x:c>
      <x:c r="F1070" s="19" t="n">
        <x:v>118667</x:v>
      </x:c>
    </x:row>
    <x:row r="1071">
      <x:c r="A1071" s="17" t="n">
        <x:v>44585</x:v>
      </x:c>
      <x:c r="B1071" s="18" t="n">
        <x:v>1832.9</x:v>
      </x:c>
      <x:c r="C1071" s="18" t="n">
        <x:v>1844.38</x:v>
      </x:c>
      <x:c r="D1071" s="18" t="n">
        <x:v>1829.72</x:v>
      </x:c>
      <x:c r="E1071" s="18" t="n">
        <x:v>1843.16</x:v>
      </x:c>
      <x:c r="F1071" s="19" t="n">
        <x:v>137348</x:v>
      </x:c>
    </x:row>
    <x:row r="1072">
      <x:c r="A1072" s="17" t="n">
        <x:v>44586</x:v>
      </x:c>
      <x:c r="B1072" s="18" t="n">
        <x:v>1842.85</x:v>
      </x:c>
      <x:c r="C1072" s="18" t="n">
        <x:v>1853.9</x:v>
      </x:c>
      <x:c r="D1072" s="18" t="n">
        <x:v>1834.94</x:v>
      </x:c>
      <x:c r="E1072" s="18" t="n">
        <x:v>1847.69</x:v>
      </x:c>
      <x:c r="F1072" s="19" t="n">
        <x:v>115864</x:v>
      </x:c>
    </x:row>
    <x:row r="1073">
      <x:c r="A1073" s="17" t="n">
        <x:v>44587</x:v>
      </x:c>
      <x:c r="B1073" s="18" t="n">
        <x:v>1847.49</x:v>
      </x:c>
      <x:c r="C1073" s="18" t="n">
        <x:v>1850.06</x:v>
      </x:c>
      <x:c r="D1073" s="18" t="n">
        <x:v>1815.03</x:v>
      </x:c>
      <x:c r="E1073" s="18" t="n">
        <x:v>1818.84</x:v>
      </x:c>
      <x:c r="F1073" s="19" t="n">
        <x:v>119417</x:v>
      </x:c>
    </x:row>
    <x:row r="1074">
      <x:c r="A1074" s="17" t="n">
        <x:v>44588</x:v>
      </x:c>
      <x:c r="B1074" s="18" t="n">
        <x:v>1819.89</x:v>
      </x:c>
      <x:c r="C1074" s="18" t="n">
        <x:v>1822.12</x:v>
      </x:c>
      <x:c r="D1074" s="18" t="n">
        <x:v>1791.84</x:v>
      </x:c>
      <x:c r="E1074" s="18" t="n">
        <x:v>1796.7</x:v>
      </x:c>
      <x:c r="F1074" s="19" t="n">
        <x:v>134786</x:v>
      </x:c>
    </x:row>
    <x:row r="1075">
      <x:c r="A1075" s="17" t="n">
        <x:v>44589</x:v>
      </x:c>
      <x:c r="B1075" s="18" t="n">
        <x:v>1797.3</x:v>
      </x:c>
      <x:c r="C1075" s="18" t="n">
        <x:v>1799.42</x:v>
      </x:c>
      <x:c r="D1075" s="18" t="n">
        <x:v>1780.3</x:v>
      </x:c>
      <x:c r="E1075" s="18" t="n">
        <x:v>1791.58</x:v>
      </x:c>
      <x:c r="F1075" s="19" t="n">
        <x:v>117835</x:v>
      </x:c>
    </x:row>
    <x:row r="1076">
      <x:c r="A1076" s="17" t="n">
        <x:v>44592</x:v>
      </x:c>
      <x:c r="B1076" s="18" t="n">
        <x:v>1788.96</x:v>
      </x:c>
      <x:c r="C1076" s="18" t="n">
        <x:v>1799.89</x:v>
      </x:c>
      <x:c r="D1076" s="18" t="n">
        <x:v>1785.57</x:v>
      </x:c>
      <x:c r="E1076" s="18" t="n">
        <x:v>1796.88</x:v>
      </x:c>
      <x:c r="F1076" s="19" t="n">
        <x:v>99871</x:v>
      </x:c>
    </x:row>
    <x:row r="1077">
      <x:c r="A1077" s="17" t="n">
        <x:v>44593</x:v>
      </x:c>
      <x:c r="B1077" s="18" t="n">
        <x:v>1797.51</x:v>
      </x:c>
      <x:c r="C1077" s="18" t="n">
        <x:v>1808.79</x:v>
      </x:c>
      <x:c r="D1077" s="18" t="n">
        <x:v>1795.77</x:v>
      </x:c>
      <x:c r="E1077" s="18" t="n">
        <x:v>1800.9</x:v>
      </x:c>
      <x:c r="F1077" s="19" t="n">
        <x:v>98541</x:v>
      </x:c>
    </x:row>
    <x:row r="1078">
      <x:c r="A1078" s="17" t="n">
        <x:v>44594</x:v>
      </x:c>
      <x:c r="B1078" s="18" t="n">
        <x:v>1801.02</x:v>
      </x:c>
      <x:c r="C1078" s="18" t="n">
        <x:v>1810.77</x:v>
      </x:c>
      <x:c r="D1078" s="18" t="n">
        <x:v>1794.51</x:v>
      </x:c>
      <x:c r="E1078" s="18" t="n">
        <x:v>1806.86</x:v>
      </x:c>
      <x:c r="F1078" s="19" t="n">
        <x:v>87102</x:v>
      </x:c>
    </x:row>
    <x:row r="1079">
      <x:c r="A1079" s="17" t="n">
        <x:v>44595</x:v>
      </x:c>
      <x:c r="B1079" s="18" t="n">
        <x:v>1806.94</x:v>
      </x:c>
      <x:c r="C1079" s="18" t="n">
        <x:v>1808.93</x:v>
      </x:c>
      <x:c r="D1079" s="18" t="n">
        <x:v>1788.66</x:v>
      </x:c>
      <x:c r="E1079" s="18" t="n">
        <x:v>1804.88</x:v>
      </x:c>
      <x:c r="F1079" s="19" t="n">
        <x:v>106335</x:v>
      </x:c>
    </x:row>
    <x:row r="1080">
      <x:c r="A1080" s="17" t="n">
        <x:v>44596</x:v>
      </x:c>
      <x:c r="B1080" s="18" t="n">
        <x:v>1804.8</x:v>
      </x:c>
      <x:c r="C1080" s="18" t="n">
        <x:v>1814.88</x:v>
      </x:c>
      <x:c r="D1080" s="18" t="n">
        <x:v>1792.14</x:v>
      </x:c>
      <x:c r="E1080" s="18" t="n">
        <x:v>1807.84</x:v>
      </x:c>
      <x:c r="F1080" s="19" t="n">
        <x:v>105497</x:v>
      </x:c>
    </x:row>
    <x:row r="1081">
      <x:c r="A1081" s="17" t="n">
        <x:v>44599</x:v>
      </x:c>
      <x:c r="B1081" s="18" t="n">
        <x:v>1808.53</x:v>
      </x:c>
      <x:c r="C1081" s="18" t="n">
        <x:v>1823.54</x:v>
      </x:c>
      <x:c r="D1081" s="18" t="n">
        <x:v>1807.84</x:v>
      </x:c>
      <x:c r="E1081" s="18" t="n">
        <x:v>1820.48</x:v>
      </x:c>
      <x:c r="F1081" s="19" t="n">
        <x:v>103673</x:v>
      </x:c>
    </x:row>
    <x:row r="1082">
      <x:c r="A1082" s="17" t="n">
        <x:v>44600</x:v>
      </x:c>
      <x:c r="B1082" s="18" t="n">
        <x:v>1821.2</x:v>
      </x:c>
      <x:c r="C1082" s="18" t="n">
        <x:v>1828.75</x:v>
      </x:c>
      <x:c r="D1082" s="18" t="n">
        <x:v>1815.43</x:v>
      </x:c>
      <x:c r="E1082" s="18" t="n">
        <x:v>1826.03</x:v>
      </x:c>
      <x:c r="F1082" s="19" t="n">
        <x:v>89692</x:v>
      </x:c>
    </x:row>
    <x:row r="1083">
      <x:c r="A1083" s="17" t="n">
        <x:v>44601</x:v>
      </x:c>
      <x:c r="B1083" s="18" t="n">
        <x:v>1825.75</x:v>
      </x:c>
      <x:c r="C1083" s="18" t="n">
        <x:v>1835.8</x:v>
      </x:c>
      <x:c r="D1083" s="18" t="n">
        <x:v>1824.73</x:v>
      </x:c>
      <x:c r="E1083" s="18" t="n">
        <x:v>1832.87</x:v>
      </x:c>
      <x:c r="F1083" s="19" t="n">
        <x:v>83092</x:v>
      </x:c>
    </x:row>
    <x:row r="1084">
      <x:c r="A1084" s="17" t="n">
        <x:v>44602</x:v>
      </x:c>
      <x:c r="B1084" s="18" t="n">
        <x:v>1832.74</x:v>
      </x:c>
      <x:c r="C1084" s="18" t="n">
        <x:v>1841.92</x:v>
      </x:c>
      <x:c r="D1084" s="18" t="n">
        <x:v>1821.68</x:v>
      </x:c>
      <x:c r="E1084" s="18" t="n">
        <x:v>1826.75</x:v>
      </x:c>
      <x:c r="F1084" s="19" t="n">
        <x:v>123300</x:v>
      </x:c>
    </x:row>
    <x:row r="1085">
      <x:c r="A1085" s="17" t="n">
        <x:v>44603</x:v>
      </x:c>
      <x:c r="B1085" s="18" t="n">
        <x:v>1827.28</x:v>
      </x:c>
      <x:c r="C1085" s="18" t="n">
        <x:v>1865.45</x:v>
      </x:c>
      <x:c r="D1085" s="18" t="n">
        <x:v>1820.92</x:v>
      </x:c>
      <x:c r="E1085" s="18" t="n">
        <x:v>1858.98</x:v>
      </x:c>
      <x:c r="F1085" s="19" t="n">
        <x:v>134846</x:v>
      </x:c>
    </x:row>
    <x:row r="1086">
      <x:c r="A1086" s="17" t="n">
        <x:v>44606</x:v>
      </x:c>
      <x:c r="B1086" s="18" t="n">
        <x:v>1855.86</x:v>
      </x:c>
      <x:c r="C1086" s="18" t="n">
        <x:v>1874.16</x:v>
      </x:c>
      <x:c r="D1086" s="18" t="n">
        <x:v>1850.82</x:v>
      </x:c>
      <x:c r="E1086" s="18" t="n">
        <x:v>1871.74</x:v>
      </x:c>
      <x:c r="F1086" s="19" t="n">
        <x:v>145102</x:v>
      </x:c>
    </x:row>
    <x:row r="1087">
      <x:c r="A1087" s="17" t="n">
        <x:v>44607</x:v>
      </x:c>
      <x:c r="B1087" s="18" t="n">
        <x:v>1870.57</x:v>
      </x:c>
      <x:c r="C1087" s="18" t="n">
        <x:v>1879.51</x:v>
      </x:c>
      <x:c r="D1087" s="18" t="n">
        <x:v>1844.49</x:v>
      </x:c>
      <x:c r="E1087" s="18" t="n">
        <x:v>1853.36</x:v>
      </x:c>
      <x:c r="F1087" s="19" t="n">
        <x:v>111096</x:v>
      </x:c>
    </x:row>
    <x:row r="1088">
      <x:c r="A1088" s="17" t="n">
        <x:v>44608</x:v>
      </x:c>
      <x:c r="B1088" s="18" t="n">
        <x:v>1853.83</x:v>
      </x:c>
      <x:c r="C1088" s="18" t="n">
        <x:v>1872.57</x:v>
      </x:c>
      <x:c r="D1088" s="18" t="n">
        <x:v>1850.33</x:v>
      </x:c>
      <x:c r="E1088" s="18" t="n">
        <x:v>1869</x:v>
      </x:c>
      <x:c r="F1088" s="19" t="n">
        <x:v>101098</x:v>
      </x:c>
    </x:row>
    <x:row r="1089">
      <x:c r="A1089" s="17" t="n">
        <x:v>44609</x:v>
      </x:c>
      <x:c r="B1089" s="18" t="n">
        <x:v>1869.85</x:v>
      </x:c>
      <x:c r="C1089" s="18" t="n">
        <x:v>1901.13</x:v>
      </x:c>
      <x:c r="D1089" s="18" t="n">
        <x:v>1867.81</x:v>
      </x:c>
      <x:c r="E1089" s="18" t="n">
        <x:v>1898.25</x:v>
      </x:c>
      <x:c r="F1089" s="19" t="n">
        <x:v>136437</x:v>
      </x:c>
    </x:row>
    <x:row r="1090">
      <x:c r="A1090" s="17" t="n">
        <x:v>44610</x:v>
      </x:c>
      <x:c r="B1090" s="18" t="n">
        <x:v>1898.69</x:v>
      </x:c>
      <x:c r="C1090" s="18" t="n">
        <x:v>1902.51</x:v>
      </x:c>
      <x:c r="D1090" s="18" t="n">
        <x:v>1886.58</x:v>
      </x:c>
      <x:c r="E1090" s="18" t="n">
        <x:v>1897.34</x:v>
      </x:c>
      <x:c r="F1090" s="19" t="n">
        <x:v>114121</x:v>
      </x:c>
    </x:row>
    <x:row r="1091">
      <x:c r="A1091" s="17" t="n">
        <x:v>44613</x:v>
      </x:c>
      <x:c r="B1091" s="18" t="n">
        <x:v>1902.54</x:v>
      </x:c>
      <x:c r="C1091" s="18" t="n">
        <x:v>1908.26</x:v>
      </x:c>
      <x:c r="D1091" s="18" t="n">
        <x:v>1887.62</x:v>
      </x:c>
      <x:c r="E1091" s="18" t="n">
        <x:v>1903.46</x:v>
      </x:c>
      <x:c r="F1091" s="19" t="n">
        <x:v>84038</x:v>
      </x:c>
    </x:row>
    <x:row r="1092">
      <x:c r="A1092" s="17" t="n">
        <x:v>44614</x:v>
      </x:c>
      <x:c r="B1092" s="18" t="n">
        <x:v>1912</x:v>
      </x:c>
      <x:c r="C1092" s="18" t="n">
        <x:v>1913.98</x:v>
      </x:c>
      <x:c r="D1092" s="18" t="n">
        <x:v>1891.38</x:v>
      </x:c>
      <x:c r="E1092" s="18" t="n">
        <x:v>1898.5</x:v>
      </x:c>
      <x:c r="F1092" s="19" t="n">
        <x:v>149372</x:v>
      </x:c>
    </x:row>
    <x:row r="1093">
      <x:c r="A1093" s="17" t="n">
        <x:v>44615</x:v>
      </x:c>
      <x:c r="B1093" s="18" t="n">
        <x:v>1898.91</x:v>
      </x:c>
      <x:c r="C1093" s="18" t="n">
        <x:v>1910.49</x:v>
      </x:c>
      <x:c r="D1093" s="18" t="n">
        <x:v>1889.62</x:v>
      </x:c>
      <x:c r="E1093" s="18" t="n">
        <x:v>1908.08</x:v>
      </x:c>
      <x:c r="F1093" s="19" t="n">
        <x:v>101624</x:v>
      </x:c>
    </x:row>
    <x:row r="1094">
      <x:c r="A1094" s="17" t="n">
        <x:v>44616</x:v>
      </x:c>
      <x:c r="B1094" s="18" t="n">
        <x:v>1909.79</x:v>
      </x:c>
      <x:c r="C1094" s="18" t="n">
        <x:v>1974.52</x:v>
      </x:c>
      <x:c r="D1094" s="18" t="n">
        <x:v>1878</x:v>
      </x:c>
      <x:c r="E1094" s="18" t="n">
        <x:v>1903.77</x:v>
      </x:c>
      <x:c r="F1094" s="19" t="n">
        <x:v>194530</x:v>
      </x:c>
    </x:row>
    <x:row r="1095">
      <x:c r="A1095" s="17" t="n">
        <x:v>44617</x:v>
      </x:c>
      <x:c r="B1095" s="18" t="n">
        <x:v>1906.5</x:v>
      </x:c>
      <x:c r="C1095" s="18" t="n">
        <x:v>1921.42</x:v>
      </x:c>
      <x:c r="D1095" s="18" t="n">
        <x:v>1882.86</x:v>
      </x:c>
      <x:c r="E1095" s="18" t="n">
        <x:v>1888.25</x:v>
      </x:c>
      <x:c r="F1095" s="19" t="n">
        <x:v>149053</x:v>
      </x:c>
    </x:row>
    <x:row r="1096">
      <x:c r="A1096" s="17" t="n">
        <x:v>44620</x:v>
      </x:c>
      <x:c r="B1096" s="18" t="n">
        <x:v>1919.79</x:v>
      </x:c>
      <x:c r="C1096" s="18" t="n">
        <x:v>1926.69</x:v>
      </x:c>
      <x:c r="D1096" s="18" t="n">
        <x:v>1890.86</x:v>
      </x:c>
      <x:c r="E1096" s="18" t="n">
        <x:v>1908.26</x:v>
      </x:c>
      <x:c r="F1096" s="19" t="n">
        <x:v>144843</x:v>
      </x:c>
    </x:row>
    <x:row r="1097">
      <x:c r="A1097" s="17" t="n">
        <x:v>44621</x:v>
      </x:c>
      <x:c r="B1097" s="18" t="n">
        <x:v>1908.3</x:v>
      </x:c>
      <x:c r="C1097" s="18" t="n">
        <x:v>1950.17</x:v>
      </x:c>
      <x:c r="D1097" s="18" t="n">
        <x:v>1901.39</x:v>
      </x:c>
      <x:c r="E1097" s="18" t="n">
        <x:v>1945.17</x:v>
      </x:c>
      <x:c r="F1097" s="19" t="n">
        <x:v>143236</x:v>
      </x:c>
    </x:row>
    <x:row r="1098">
      <x:c r="A1098" s="17" t="n">
        <x:v>44622</x:v>
      </x:c>
      <x:c r="B1098" s="18" t="n">
        <x:v>1942.98</x:v>
      </x:c>
      <x:c r="C1098" s="18" t="n">
        <x:v>1947.87</x:v>
      </x:c>
      <x:c r="D1098" s="18" t="n">
        <x:v>1913.42</x:v>
      </x:c>
      <x:c r="E1098" s="18" t="n">
        <x:v>1927.61</x:v>
      </x:c>
      <x:c r="F1098" s="19" t="n">
        <x:v>134384</x:v>
      </x:c>
    </x:row>
    <x:row r="1099">
      <x:c r="A1099" s="17" t="n">
        <x:v>44623</x:v>
      </x:c>
      <x:c r="B1099" s="18" t="n">
        <x:v>1929.27</x:v>
      </x:c>
      <x:c r="C1099" s="18" t="n">
        <x:v>1941.18</x:v>
      </x:c>
      <x:c r="D1099" s="18" t="n">
        <x:v>1922.08</x:v>
      </x:c>
      <x:c r="E1099" s="18" t="n">
        <x:v>1936.62</x:v>
      </x:c>
      <x:c r="F1099" s="19" t="n">
        <x:v>119807</x:v>
      </x:c>
    </x:row>
    <x:row r="1100">
      <x:c r="A1100" s="17" t="n">
        <x:v>44624</x:v>
      </x:c>
      <x:c r="B1100" s="18" t="n">
        <x:v>1936.72</x:v>
      </x:c>
      <x:c r="C1100" s="18" t="n">
        <x:v>1970.19</x:v>
      </x:c>
      <x:c r="D1100" s="18" t="n">
        <x:v>1929.56</x:v>
      </x:c>
      <x:c r="E1100" s="18" t="n">
        <x:v>1969.74</x:v>
      </x:c>
      <x:c r="F1100" s="19" t="n">
        <x:v>142983</x:v>
      </x:c>
    </x:row>
    <x:row r="1101">
      <x:c r="A1101" s="17" t="n">
        <x:v>44627</x:v>
      </x:c>
      <x:c r="B1101" s="18" t="n">
        <x:v>1980.67</x:v>
      </x:c>
      <x:c r="C1101" s="18" t="n">
        <x:v>2002.61</x:v>
      </x:c>
      <x:c r="D1101" s="18" t="n">
        <x:v>1961.03</x:v>
      </x:c>
      <x:c r="E1101" s="18" t="n">
        <x:v>1997.24</x:v>
      </x:c>
      <x:c r="F1101" s="19" t="n">
        <x:v>196672</x:v>
      </x:c>
    </x:row>
    <x:row r="1102">
      <x:c r="A1102" s="17" t="n">
        <x:v>44628</x:v>
      </x:c>
      <x:c r="B1102" s="18" t="n">
        <x:v>1997.23</x:v>
      </x:c>
      <x:c r="C1102" s="18" t="n">
        <x:v>2070.3</x:v>
      </x:c>
      <x:c r="D1102" s="18" t="n">
        <x:v>1981.08</x:v>
      </x:c>
      <x:c r="E1102" s="18" t="n">
        <x:v>2050.15</x:v>
      </x:c>
      <x:c r="F1102" s="19" t="n">
        <x:v>198331</x:v>
      </x:c>
    </x:row>
    <x:row r="1103">
      <x:c r="A1103" s="17" t="n">
        <x:v>44629</x:v>
      </x:c>
      <x:c r="B1103" s="18" t="n">
        <x:v>2050.01</x:v>
      </x:c>
      <x:c r="C1103" s="18" t="n">
        <x:v>2059.24</x:v>
      </x:c>
      <x:c r="D1103" s="18" t="n">
        <x:v>1976.04</x:v>
      </x:c>
      <x:c r="E1103" s="18" t="n">
        <x:v>1992.39</x:v>
      </x:c>
      <x:c r="F1103" s="19" t="n">
        <x:v>163223</x:v>
      </x:c>
    </x:row>
    <x:row r="1104">
      <x:c r="A1104" s="17" t="n">
        <x:v>44630</x:v>
      </x:c>
      <x:c r="B1104" s="18" t="n">
        <x:v>1991.87</x:v>
      </x:c>
      <x:c r="C1104" s="18" t="n">
        <x:v>2009.1</x:v>
      </x:c>
      <x:c r="D1104" s="18" t="n">
        <x:v>1970.26</x:v>
      </x:c>
      <x:c r="E1104" s="18" t="n">
        <x:v>1996.01</x:v>
      </x:c>
      <x:c r="F1104" s="19" t="n">
        <x:v>130688</x:v>
      </x:c>
    </x:row>
    <x:row r="1105">
      <x:c r="A1105" s="17" t="n">
        <x:v>44631</x:v>
      </x:c>
      <x:c r="B1105" s="18" t="n">
        <x:v>1997.35</x:v>
      </x:c>
      <x:c r="C1105" s="18" t="n">
        <x:v>1998.88</x:v>
      </x:c>
      <x:c r="D1105" s="18" t="n">
        <x:v>1958.56</x:v>
      </x:c>
      <x:c r="E1105" s="18" t="n">
        <x:v>1985.22</x:v>
      </x:c>
      <x:c r="F1105" s="19" t="n">
        <x:v>92301</x:v>
      </x:c>
    </x:row>
    <x:row r="1106">
      <x:c r="A1106" s="17" t="n">
        <x:v>44634</x:v>
      </x:c>
      <x:c r="B1106" s="18" t="n">
        <x:v>1979.73</x:v>
      </x:c>
      <x:c r="C1106" s="18" t="n">
        <x:v>1983.64</x:v>
      </x:c>
      <x:c r="D1106" s="18" t="n">
        <x:v>1949.7</x:v>
      </x:c>
      <x:c r="E1106" s="18" t="n">
        <x:v>1951.44</x:v>
      </x:c>
      <x:c r="F1106" s="19" t="n">
        <x:v>91098</x:v>
      </x:c>
    </x:row>
    <x:row r="1107">
      <x:c r="A1107" s="17" t="n">
        <x:v>44635</x:v>
      </x:c>
      <x:c r="B1107" s="18" t="n">
        <x:v>1953.28</x:v>
      </x:c>
      <x:c r="C1107" s="18" t="n">
        <x:v>1954.5</x:v>
      </x:c>
      <x:c r="D1107" s="18" t="n">
        <x:v>1907.05</x:v>
      </x:c>
      <x:c r="E1107" s="18" t="n">
        <x:v>1917.56</x:v>
      </x:c>
      <x:c r="F1107" s="19" t="n">
        <x:v>99796</x:v>
      </x:c>
    </x:row>
    <x:row r="1108">
      <x:c r="A1108" s="17" t="n">
        <x:v>44636</x:v>
      </x:c>
      <x:c r="B1108" s="18" t="n">
        <x:v>1920.11</x:v>
      </x:c>
      <x:c r="C1108" s="18" t="n">
        <x:v>1929.49</x:v>
      </x:c>
      <x:c r="D1108" s="18" t="n">
        <x:v>1895.01</x:v>
      </x:c>
      <x:c r="E1108" s="18" t="n">
        <x:v>1924.83</x:v>
      </x:c>
      <x:c r="F1108" s="19" t="n">
        <x:v>96954</x:v>
      </x:c>
    </x:row>
    <x:row r="1109">
      <x:c r="A1109" s="17" t="n">
        <x:v>44637</x:v>
      </x:c>
      <x:c r="B1109" s="18" t="n">
        <x:v>1925.74</x:v>
      </x:c>
      <x:c r="C1109" s="18" t="n">
        <x:v>1949.74</x:v>
      </x:c>
      <x:c r="D1109" s="18" t="n">
        <x:v>1923.35</x:v>
      </x:c>
      <x:c r="E1109" s="18" t="n">
        <x:v>1942.56</x:v>
      </x:c>
      <x:c r="F1109" s="19" t="n">
        <x:v>77105</x:v>
      </x:c>
    </x:row>
    <x:row r="1110">
      <x:c r="A1110" s="17" t="n">
        <x:v>44638</x:v>
      </x:c>
      <x:c r="B1110" s="18" t="n">
        <x:v>1942.17</x:v>
      </x:c>
      <x:c r="C1110" s="18" t="n">
        <x:v>1945.36</x:v>
      </x:c>
      <x:c r="D1110" s="18" t="n">
        <x:v>1917.97</x:v>
      </x:c>
      <x:c r="E1110" s="18" t="n">
        <x:v>1920.74</x:v>
      </x:c>
      <x:c r="F1110" s="19" t="n">
        <x:v>76973</x:v>
      </x:c>
    </x:row>
    <x:row r="1111">
      <x:c r="A1111" s="17" t="n">
        <x:v>44641</x:v>
      </x:c>
      <x:c r="B1111" s="18" t="n">
        <x:v>1925.11</x:v>
      </x:c>
      <x:c r="C1111" s="18" t="n">
        <x:v>1941.02</x:v>
      </x:c>
      <x:c r="D1111" s="18" t="n">
        <x:v>1917.69</x:v>
      </x:c>
      <x:c r="E1111" s="18" t="n">
        <x:v>1934.91</x:v>
      </x:c>
      <x:c r="F1111" s="19" t="n">
        <x:v>86440</x:v>
      </x:c>
    </x:row>
    <x:row r="1112">
      <x:c r="A1112" s="17" t="n">
        <x:v>44642</x:v>
      </x:c>
      <x:c r="B1112" s="18" t="n">
        <x:v>1936.13</x:v>
      </x:c>
      <x:c r="C1112" s="18" t="n">
        <x:v>1938.35</x:v>
      </x:c>
      <x:c r="D1112" s="18" t="n">
        <x:v>1910.67</x:v>
      </x:c>
      <x:c r="E1112" s="18" t="n">
        <x:v>1921.53</x:v>
      </x:c>
      <x:c r="F1112" s="19" t="n">
        <x:v>87653</x:v>
      </x:c>
    </x:row>
    <x:row r="1113">
      <x:c r="A1113" s="17" t="n">
        <x:v>44643</x:v>
      </x:c>
      <x:c r="B1113" s="18" t="n">
        <x:v>1921.25</x:v>
      </x:c>
      <x:c r="C1113" s="18" t="n">
        <x:v>1948.28</x:v>
      </x:c>
      <x:c r="D1113" s="18" t="n">
        <x:v>1915.51</x:v>
      </x:c>
      <x:c r="E1113" s="18" t="n">
        <x:v>1944.86</x:v>
      </x:c>
      <x:c r="F1113" s="19" t="n">
        <x:v>81077</x:v>
      </x:c>
    </x:row>
    <x:row r="1114">
      <x:c r="A1114" s="17" t="n">
        <x:v>44644</x:v>
      </x:c>
      <x:c r="B1114" s="18" t="n">
        <x:v>1944.37</x:v>
      </x:c>
      <x:c r="C1114" s="18" t="n">
        <x:v>1966.2</x:v>
      </x:c>
      <x:c r="D1114" s="18" t="n">
        <x:v>1937.54</x:v>
      </x:c>
      <x:c r="E1114" s="18" t="n">
        <x:v>1956.95</x:v>
      </x:c>
      <x:c r="F1114" s="19" t="n">
        <x:v>96136</x:v>
      </x:c>
    </x:row>
    <x:row r="1115">
      <x:c r="A1115" s="17" t="n">
        <x:v>44645</x:v>
      </x:c>
      <x:c r="B1115" s="18" t="n">
        <x:v>1958.89</x:v>
      </x:c>
      <x:c r="C1115" s="18" t="n">
        <x:v>1964.37</x:v>
      </x:c>
      <x:c r="D1115" s="18" t="n">
        <x:v>1943.2</x:v>
      </x:c>
      <x:c r="E1115" s="18" t="n">
        <x:v>1957.24</x:v>
      </x:c>
      <x:c r="F1115" s="19" t="n">
        <x:v>89859</x:v>
      </x:c>
    </x:row>
    <x:row r="1116">
      <x:c r="A1116" s="17" t="n">
        <x:v>44648</x:v>
      </x:c>
      <x:c r="B1116" s="18" t="n">
        <x:v>1955.63</x:v>
      </x:c>
      <x:c r="C1116" s="18" t="n">
        <x:v>1958.52</x:v>
      </x:c>
      <x:c r="D1116" s="18" t="n">
        <x:v>1917.02</x:v>
      </x:c>
      <x:c r="E1116" s="18" t="n">
        <x:v>1921.82</x:v>
      </x:c>
      <x:c r="F1116" s="19" t="n">
        <x:v>135330</x:v>
      </x:c>
    </x:row>
    <x:row r="1117">
      <x:c r="A1117" s="17" t="n">
        <x:v>44649</x:v>
      </x:c>
      <x:c r="B1117" s="18" t="n">
        <x:v>1922.35</x:v>
      </x:c>
      <x:c r="C1117" s="18" t="n">
        <x:v>1929.36</x:v>
      </x:c>
      <x:c r="D1117" s="18" t="n">
        <x:v>1890.02</x:v>
      </x:c>
      <x:c r="E1117" s="18" t="n">
        <x:v>1919.31</x:v>
      </x:c>
      <x:c r="F1117" s="19" t="n">
        <x:v>126619</x:v>
      </x:c>
    </x:row>
    <x:row r="1118">
      <x:c r="A1118" s="17" t="n">
        <x:v>44650</x:v>
      </x:c>
      <x:c r="B1118" s="18" t="n">
        <x:v>1920.13</x:v>
      </x:c>
      <x:c r="C1118" s="18" t="n">
        <x:v>1938.45</x:v>
      </x:c>
      <x:c r="D1118" s="18" t="n">
        <x:v>1915.81</x:v>
      </x:c>
      <x:c r="E1118" s="18" t="n">
        <x:v>1933.13</x:v>
      </x:c>
      <x:c r="F1118" s="19" t="n">
        <x:v>99642</x:v>
      </x:c>
    </x:row>
    <x:row r="1119">
      <x:c r="A1119" s="17" t="n">
        <x:v>44651</x:v>
      </x:c>
      <x:c r="B1119" s="18" t="n">
        <x:v>1933.15</x:v>
      </x:c>
      <x:c r="C1119" s="18" t="n">
        <x:v>1949.76</x:v>
      </x:c>
      <x:c r="D1119" s="18" t="n">
        <x:v>1919.1</x:v>
      </x:c>
      <x:c r="E1119" s="18" t="n">
        <x:v>1936.88</x:v>
      </x:c>
      <x:c r="F1119" s="19" t="n">
        <x:v>103869</x:v>
      </x:c>
    </x:row>
    <x:row r="1120">
      <x:c r="A1120" s="17" t="n">
        <x:v>44652</x:v>
      </x:c>
      <x:c r="B1120" s="18" t="n">
        <x:v>1937.15</x:v>
      </x:c>
      <x:c r="C1120" s="18" t="n">
        <x:v>1939.6</x:v>
      </x:c>
      <x:c r="D1120" s="18" t="n">
        <x:v>1918.06</x:v>
      </x:c>
      <x:c r="E1120" s="18" t="n">
        <x:v>1924.09</x:v>
      </x:c>
      <x:c r="F1120" s="19" t="n">
        <x:v>100483</x:v>
      </x:c>
    </x:row>
    <x:row r="1121">
      <x:c r="A1121" s="17" t="n">
        <x:v>44655</x:v>
      </x:c>
      <x:c r="B1121" s="18" t="n">
        <x:v>1924.07</x:v>
      </x:c>
      <x:c r="C1121" s="18" t="n">
        <x:v>1936.82</x:v>
      </x:c>
      <x:c r="D1121" s="18" t="n">
        <x:v>1915.5</x:v>
      </x:c>
      <x:c r="E1121" s="18" t="n">
        <x:v>1932.72</x:v>
      </x:c>
      <x:c r="F1121" s="19" t="n">
        <x:v>94779</x:v>
      </x:c>
    </x:row>
    <x:row r="1122">
      <x:c r="A1122" s="17" t="n">
        <x:v>44656</x:v>
      </x:c>
      <x:c r="B1122" s="18" t="n">
        <x:v>1932.48</x:v>
      </x:c>
      <x:c r="C1122" s="18" t="n">
        <x:v>1944.58</x:v>
      </x:c>
      <x:c r="D1122" s="18" t="n">
        <x:v>1917.97</x:v>
      </x:c>
      <x:c r="E1122" s="18" t="n">
        <x:v>1923.62</x:v>
      </x:c>
      <x:c r="F1122" s="19" t="n">
        <x:v>95000</x:v>
      </x:c>
    </x:row>
    <x:row r="1123">
      <x:c r="A1123" s="17" t="n">
        <x:v>44657</x:v>
      </x:c>
      <x:c r="B1123" s="18" t="n">
        <x:v>1923.02</x:v>
      </x:c>
      <x:c r="C1123" s="18" t="n">
        <x:v>1933.41</x:v>
      </x:c>
      <x:c r="D1123" s="18" t="n">
        <x:v>1915.15</x:v>
      </x:c>
      <x:c r="E1123" s="18" t="n">
        <x:v>1925.61</x:v>
      </x:c>
      <x:c r="F1123" s="19" t="n">
        <x:v>114996</x:v>
      </x:c>
    </x:row>
    <x:row r="1124">
      <x:c r="A1124" s="17" t="n">
        <x:v>44658</x:v>
      </x:c>
      <x:c r="B1124" s="18" t="n">
        <x:v>1924.08</x:v>
      </x:c>
      <x:c r="C1124" s="18" t="n">
        <x:v>1937.72</x:v>
      </x:c>
      <x:c r="D1124" s="18" t="n">
        <x:v>1920.47</x:v>
      </x:c>
      <x:c r="E1124" s="18" t="n">
        <x:v>1931.25</x:v>
      </x:c>
      <x:c r="F1124" s="19" t="n">
        <x:v>99273</x:v>
      </x:c>
    </x:row>
    <x:row r="1125">
      <x:c r="A1125" s="17" t="n">
        <x:v>44659</x:v>
      </x:c>
      <x:c r="B1125" s="18" t="n">
        <x:v>1931.72</x:v>
      </x:c>
      <x:c r="C1125" s="18" t="n">
        <x:v>1948.13</x:v>
      </x:c>
      <x:c r="D1125" s="18" t="n">
        <x:v>1927.67</x:v>
      </x:c>
      <x:c r="E1125" s="18" t="n">
        <x:v>1946.4</x:v>
      </x:c>
      <x:c r="F1125" s="19" t="n">
        <x:v>98330</x:v>
      </x:c>
    </x:row>
    <x:row r="1126">
      <x:c r="A1126" s="17" t="n">
        <x:v>44662</x:v>
      </x:c>
      <x:c r="B1126" s="18" t="n">
        <x:v>1947.6</x:v>
      </x:c>
      <x:c r="C1126" s="18" t="n">
        <x:v>1969.78</x:v>
      </x:c>
      <x:c r="D1126" s="18" t="n">
        <x:v>1940</x:v>
      </x:c>
      <x:c r="E1126" s="18" t="n">
        <x:v>1954.81</x:v>
      </x:c>
      <x:c r="F1126" s="19" t="n">
        <x:v>118601</x:v>
      </x:c>
    </x:row>
    <x:row r="1127">
      <x:c r="A1127" s="17" t="n">
        <x:v>44663</x:v>
      </x:c>
      <x:c r="B1127" s="18" t="n">
        <x:v>1952.27</x:v>
      </x:c>
      <x:c r="C1127" s="18" t="n">
        <x:v>1978.68</x:v>
      </x:c>
      <x:c r="D1127" s="18" t="n">
        <x:v>1949.81</x:v>
      </x:c>
      <x:c r="E1127" s="18" t="n">
        <x:v>1966.38</x:v>
      </x:c>
      <x:c r="F1127" s="19" t="n">
        <x:v>115216</x:v>
      </x:c>
    </x:row>
    <x:row r="1128">
      <x:c r="A1128" s="17" t="n">
        <x:v>44664</x:v>
      </x:c>
      <x:c r="B1128" s="18" t="n">
        <x:v>1966.8</x:v>
      </x:c>
      <x:c r="C1128" s="18" t="n">
        <x:v>1981.59</x:v>
      </x:c>
      <x:c r="D1128" s="18" t="n">
        <x:v>1962.81</x:v>
      </x:c>
      <x:c r="E1128" s="18" t="n">
        <x:v>1977.76</x:v>
      </x:c>
      <x:c r="F1128" s="19" t="n">
        <x:v>100307</x:v>
      </x:c>
    </x:row>
    <x:row r="1129">
      <x:c r="A1129" s="17" t="n">
        <x:v>44665</x:v>
      </x:c>
      <x:c r="B1129" s="18" t="n">
        <x:v>1977.13</x:v>
      </x:c>
      <x:c r="C1129" s="18" t="n">
        <x:v>1980.35</x:v>
      </x:c>
      <x:c r="D1129" s="18" t="n">
        <x:v>1960.38</x:v>
      </x:c>
      <x:c r="E1129" s="18" t="n">
        <x:v>1973.19</x:v>
      </x:c>
      <x:c r="F1129" s="19" t="n">
        <x:v>103260</x:v>
      </x:c>
    </x:row>
    <x:row r="1130">
      <x:c r="A1130" s="17" t="n">
        <x:v>44669</x:v>
      </x:c>
      <x:c r="B1130" s="18" t="n">
        <x:v>1972.39</x:v>
      </x:c>
      <x:c r="C1130" s="18" t="n">
        <x:v>1998.43</x:v>
      </x:c>
      <x:c r="D1130" s="18" t="n">
        <x:v>1971.66</x:v>
      </x:c>
      <x:c r="E1130" s="18" t="n">
        <x:v>1978.71</x:v>
      </x:c>
      <x:c r="F1130" s="19" t="n">
        <x:v>114849</x:v>
      </x:c>
    </x:row>
    <x:row r="1131">
      <x:c r="A1131" s="17" t="n">
        <x:v>44670</x:v>
      </x:c>
      <x:c r="B1131" s="18" t="n">
        <x:v>1977.54</x:v>
      </x:c>
      <x:c r="C1131" s="18" t="n">
        <x:v>1982</x:v>
      </x:c>
      <x:c r="D1131" s="18" t="n">
        <x:v>1943.81</x:v>
      </x:c>
      <x:c r="E1131" s="18" t="n">
        <x:v>1949.19</x:v>
      </x:c>
      <x:c r="F1131" s="19" t="n">
        <x:v>122648</x:v>
      </x:c>
    </x:row>
    <x:row r="1132">
      <x:c r="A1132" s="17" t="n">
        <x:v>44671</x:v>
      </x:c>
      <x:c r="B1132" s="18" t="n">
        <x:v>1949.81</x:v>
      </x:c>
      <x:c r="C1132" s="18" t="n">
        <x:v>1958.33</x:v>
      </x:c>
      <x:c r="D1132" s="18" t="n">
        <x:v>1939.32</x:v>
      </x:c>
      <x:c r="E1132" s="18" t="n">
        <x:v>1957.63</x:v>
      </x:c>
      <x:c r="F1132" s="19" t="n">
        <x:v>123682</x:v>
      </x:c>
    </x:row>
    <x:row r="1133">
      <x:c r="A1133" s="17" t="n">
        <x:v>44672</x:v>
      </x:c>
      <x:c r="B1133" s="18" t="n">
        <x:v>1956.03</x:v>
      </x:c>
      <x:c r="C1133" s="18" t="n">
        <x:v>1957.32</x:v>
      </x:c>
      <x:c r="D1133" s="18" t="n">
        <x:v>1936.84</x:v>
      </x:c>
      <x:c r="E1133" s="18" t="n">
        <x:v>1951.74</x:v>
      </x:c>
      <x:c r="F1133" s="19" t="n">
        <x:v>120391</x:v>
      </x:c>
    </x:row>
    <x:row r="1134">
      <x:c r="A1134" s="17" t="n">
        <x:v>44673</x:v>
      </x:c>
      <x:c r="B1134" s="18" t="n">
        <x:v>1950.28</x:v>
      </x:c>
      <x:c r="C1134" s="18" t="n">
        <x:v>1955.63</x:v>
      </x:c>
      <x:c r="D1134" s="18" t="n">
        <x:v>1926.68</x:v>
      </x:c>
      <x:c r="E1134" s="18" t="n">
        <x:v>1931.91</x:v>
      </x:c>
      <x:c r="F1134" s="19" t="n">
        <x:v>129730</x:v>
      </x:c>
    </x:row>
    <x:row r="1135">
      <x:c r="A1135" s="17" t="n">
        <x:v>44676</x:v>
      </x:c>
      <x:c r="B1135" s="18" t="n">
        <x:v>1932.72</x:v>
      </x:c>
      <x:c r="C1135" s="18" t="n">
        <x:v>1934.26</x:v>
      </x:c>
      <x:c r="D1135" s="18" t="n">
        <x:v>1891.43</x:v>
      </x:c>
      <x:c r="E1135" s="18" t="n">
        <x:v>1897.67</x:v>
      </x:c>
      <x:c r="F1135" s="19" t="n">
        <x:v>155239</x:v>
      </x:c>
    </x:row>
    <x:row r="1136">
      <x:c r="A1136" s="17" t="n">
        <x:v>44677</x:v>
      </x:c>
      <x:c r="B1136" s="18" t="n">
        <x:v>1898.55</x:v>
      </x:c>
      <x:c r="C1136" s="18" t="n">
        <x:v>1911.27</x:v>
      </x:c>
      <x:c r="D1136" s="18" t="n">
        <x:v>1895.77</x:v>
      </x:c>
      <x:c r="E1136" s="18" t="n">
        <x:v>1906.14</x:v>
      </x:c>
      <x:c r="F1136" s="19" t="n">
        <x:v>124208</x:v>
      </x:c>
    </x:row>
    <x:row r="1137">
      <x:c r="A1137" s="17" t="n">
        <x:v>44678</x:v>
      </x:c>
      <x:c r="B1137" s="18" t="n">
        <x:v>1906.03</x:v>
      </x:c>
      <x:c r="C1137" s="18" t="n">
        <x:v>1907.03</x:v>
      </x:c>
      <x:c r="D1137" s="18" t="n">
        <x:v>1881.42</x:v>
      </x:c>
      <x:c r="E1137" s="18" t="n">
        <x:v>1885.53</x:v>
      </x:c>
      <x:c r="F1137" s="19" t="n">
        <x:v>129329</x:v>
      </x:c>
    </x:row>
    <x:row r="1138">
      <x:c r="A1138" s="17" t="n">
        <x:v>44679</x:v>
      </x:c>
      <x:c r="B1138" s="18" t="n">
        <x:v>1885.48</x:v>
      </x:c>
      <x:c r="C1138" s="18" t="n">
        <x:v>1896.72</x:v>
      </x:c>
      <x:c r="D1138" s="18" t="n">
        <x:v>1872.04</x:v>
      </x:c>
      <x:c r="E1138" s="18" t="n">
        <x:v>1894.22</x:v>
      </x:c>
      <x:c r="F1138" s="19" t="n">
        <x:v>136439</x:v>
      </x:c>
    </x:row>
    <x:row r="1139">
      <x:c r="A1139" s="17" t="n">
        <x:v>44680</x:v>
      </x:c>
      <x:c r="B1139" s="18" t="n">
        <x:v>1895.11</x:v>
      </x:c>
      <x:c r="C1139" s="18" t="n">
        <x:v>1919.83</x:v>
      </x:c>
      <x:c r="D1139" s="18" t="n">
        <x:v>1892.48</x:v>
      </x:c>
      <x:c r="E1139" s="18" t="n">
        <x:v>1896.42</x:v>
      </x:c>
      <x:c r="F1139" s="19" t="n">
        <x:v>130267</x:v>
      </x:c>
    </x:row>
    <x:row r="1140">
      <x:c r="A1140" s="17" t="n">
        <x:v>44683</x:v>
      </x:c>
      <x:c r="B1140" s="18" t="n">
        <x:v>1899.29</x:v>
      </x:c>
      <x:c r="C1140" s="18" t="n">
        <x:v>1899.86</x:v>
      </x:c>
      <x:c r="D1140" s="18" t="n">
        <x:v>1854.6</x:v>
      </x:c>
      <x:c r="E1140" s="18" t="n">
        <x:v>1863.21</x:v>
      </x:c>
      <x:c r="F1140" s="19" t="n">
        <x:v>118986</x:v>
      </x:c>
    </x:row>
    <x:row r="1141">
      <x:c r="A1141" s="17" t="n">
        <x:v>44684</x:v>
      </x:c>
      <x:c r="B1141" s="18" t="n">
        <x:v>1863.44</x:v>
      </x:c>
      <x:c r="C1141" s="18" t="n">
        <x:v>1878.13</x:v>
      </x:c>
      <x:c r="D1141" s="18" t="n">
        <x:v>1850.38</x:v>
      </x:c>
      <x:c r="E1141" s="18" t="n">
        <x:v>1868.01</x:v>
      </x:c>
      <x:c r="F1141" s="19" t="n">
        <x:v>106602</x:v>
      </x:c>
    </x:row>
    <x:row r="1142">
      <x:c r="A1142" s="17" t="n">
        <x:v>44685</x:v>
      </x:c>
      <x:c r="B1142" s="18" t="n">
        <x:v>1868.01</x:v>
      </x:c>
      <x:c r="C1142" s="18" t="n">
        <x:v>1889.81</x:v>
      </x:c>
      <x:c r="D1142" s="18" t="n">
        <x:v>1861.42</x:v>
      </x:c>
      <x:c r="E1142" s="18" t="n">
        <x:v>1881.75</x:v>
      </x:c>
      <x:c r="F1142" s="19" t="n">
        <x:v>105286</x:v>
      </x:c>
    </x:row>
    <x:row r="1143">
      <x:c r="A1143" s="17" t="n">
        <x:v>44686</x:v>
      </x:c>
      <x:c r="B1143" s="18" t="n">
        <x:v>1881.9</x:v>
      </x:c>
      <x:c r="C1143" s="18" t="n">
        <x:v>1909.77</x:v>
      </x:c>
      <x:c r="D1143" s="18" t="n">
        <x:v>1872.57</x:v>
      </x:c>
      <x:c r="E1143" s="18" t="n">
        <x:v>1877.2</x:v>
      </x:c>
      <x:c r="F1143" s="19" t="n">
        <x:v>147709</x:v>
      </x:c>
    </x:row>
    <x:row r="1144">
      <x:c r="A1144" s="17" t="n">
        <x:v>44687</x:v>
      </x:c>
      <x:c r="B1144" s="18" t="n">
        <x:v>1876.3</x:v>
      </x:c>
      <x:c r="C1144" s="18" t="n">
        <x:v>1892.56</x:v>
      </x:c>
      <x:c r="D1144" s="18" t="n">
        <x:v>1866.06</x:v>
      </x:c>
      <x:c r="E1144" s="18" t="n">
        <x:v>1882.37</x:v>
      </x:c>
      <x:c r="F1144" s="19" t="n">
        <x:v>133035</x:v>
      </x:c>
    </x:row>
    <x:row r="1145">
      <x:c r="A1145" s="17" t="n">
        <x:v>44690</x:v>
      </x:c>
      <x:c r="B1145" s="18" t="n">
        <x:v>1883.46</x:v>
      </x:c>
      <x:c r="C1145" s="18" t="n">
        <x:v>1885.59</x:v>
      </x:c>
      <x:c r="D1145" s="18" t="n">
        <x:v>1851.63</x:v>
      </x:c>
      <x:c r="E1145" s="18" t="n">
        <x:v>1854.13</x:v>
      </x:c>
      <x:c r="F1145" s="19" t="n">
        <x:v>144766</x:v>
      </x:c>
    </x:row>
    <x:row r="1146">
      <x:c r="A1146" s="17" t="n">
        <x:v>44691</x:v>
      </x:c>
      <x:c r="B1146" s="18" t="n">
        <x:v>1853.22</x:v>
      </x:c>
      <x:c r="C1146" s="18" t="n">
        <x:v>1865.39</x:v>
      </x:c>
      <x:c r="D1146" s="18" t="n">
        <x:v>1835.49</x:v>
      </x:c>
      <x:c r="E1146" s="18" t="n">
        <x:v>1838.24</x:v>
      </x:c>
      <x:c r="F1146" s="19" t="n">
        <x:v>139294</x:v>
      </x:c>
    </x:row>
    <x:row r="1147">
      <x:c r="A1147" s="17" t="n">
        <x:v>44692</x:v>
      </x:c>
      <x:c r="B1147" s="18" t="n">
        <x:v>1838.98</x:v>
      </x:c>
      <x:c r="C1147" s="18" t="n">
        <x:v>1858.15</x:v>
      </x:c>
      <x:c r="D1147" s="18" t="n">
        <x:v>1831.97</x:v>
      </x:c>
      <x:c r="E1147" s="18" t="n">
        <x:v>1852.3</x:v>
      </x:c>
      <x:c r="F1147" s="19" t="n">
        <x:v>133536</x:v>
      </x:c>
    </x:row>
    <x:row r="1148">
      <x:c r="A1148" s="17" t="n">
        <x:v>44693</x:v>
      </x:c>
      <x:c r="B1148" s="18" t="n">
        <x:v>1851.39</x:v>
      </x:c>
      <x:c r="C1148" s="18" t="n">
        <x:v>1858.77</x:v>
      </x:c>
      <x:c r="D1148" s="18" t="n">
        <x:v>1821.53</x:v>
      </x:c>
      <x:c r="E1148" s="18" t="n">
        <x:v>1821.94</x:v>
      </x:c>
      <x:c r="F1148" s="19" t="n">
        <x:v>147591</x:v>
      </x:c>
    </x:row>
    <x:row r="1149">
      <x:c r="A1149" s="17" t="n">
        <x:v>44694</x:v>
      </x:c>
      <x:c r="B1149" s="18" t="n">
        <x:v>1822.63</x:v>
      </x:c>
      <x:c r="C1149" s="18" t="n">
        <x:v>1828.76</x:v>
      </x:c>
      <x:c r="D1149" s="18" t="n">
        <x:v>1799.06</x:v>
      </x:c>
      <x:c r="E1149" s="18" t="n">
        <x:v>1811.66</x:v>
      </x:c>
      <x:c r="F1149" s="19" t="n">
        <x:v>115205</x:v>
      </x:c>
    </x:row>
    <x:row r="1150">
      <x:c r="A1150" s="17" t="n">
        <x:v>44697</x:v>
      </x:c>
      <x:c r="B1150" s="18" t="n">
        <x:v>1814.33</x:v>
      </x:c>
      <x:c r="C1150" s="18" t="n">
        <x:v>1826.89</x:v>
      </x:c>
      <x:c r="D1150" s="18" t="n">
        <x:v>1786.84</x:v>
      </x:c>
      <x:c r="E1150" s="18" t="n">
        <x:v>1824.79</x:v>
      </x:c>
      <x:c r="F1150" s="19" t="n">
        <x:v>108297</x:v>
      </x:c>
    </x:row>
    <x:row r="1151">
      <x:c r="A1151" s="17" t="n">
        <x:v>44698</x:v>
      </x:c>
      <x:c r="B1151" s="18" t="n">
        <x:v>1824.95</x:v>
      </x:c>
      <x:c r="C1151" s="18" t="n">
        <x:v>1836.05</x:v>
      </x:c>
      <x:c r="D1151" s="18" t="n">
        <x:v>1812.86</x:v>
      </x:c>
      <x:c r="E1151" s="18" t="n">
        <x:v>1814.52</x:v>
      </x:c>
      <x:c r="F1151" s="19" t="n">
        <x:v>105592</x:v>
      </x:c>
    </x:row>
    <x:row r="1152">
      <x:c r="A1152" s="17" t="n">
        <x:v>44699</x:v>
      </x:c>
      <x:c r="B1152" s="18" t="n">
        <x:v>1814.35</x:v>
      </x:c>
      <x:c r="C1152" s="18" t="n">
        <x:v>1824.71</x:v>
      </x:c>
      <x:c r="D1152" s="18" t="n">
        <x:v>1807.32</x:v>
      </x:c>
      <x:c r="E1152" s="18" t="n">
        <x:v>1817.35</x:v>
      </x:c>
      <x:c r="F1152" s="19" t="n">
        <x:v>99690</x:v>
      </x:c>
    </x:row>
    <x:row r="1153">
      <x:c r="A1153" s="17" t="n">
        <x:v>44700</x:v>
      </x:c>
      <x:c r="B1153" s="18" t="n">
        <x:v>1816.31</x:v>
      </x:c>
      <x:c r="C1153" s="18" t="n">
        <x:v>1849.15</x:v>
      </x:c>
      <x:c r="D1153" s="18" t="n">
        <x:v>1810.96</x:v>
      </x:c>
      <x:c r="E1153" s="18" t="n">
        <x:v>1841.17</x:v>
      </x:c>
      <x:c r="F1153" s="19" t="n">
        <x:v>112284</x:v>
      </x:c>
    </x:row>
    <x:row r="1154">
      <x:c r="A1154" s="17" t="n">
        <x:v>44701</x:v>
      </x:c>
      <x:c r="B1154" s="18" t="n">
        <x:v>1841.91</x:v>
      </x:c>
      <x:c r="C1154" s="18" t="n">
        <x:v>1849.44</x:v>
      </x:c>
      <x:c r="D1154" s="18" t="n">
        <x:v>1832.38</x:v>
      </x:c>
      <x:c r="E1154" s="18" t="n">
        <x:v>1845.71</x:v>
      </x:c>
      <x:c r="F1154" s="19" t="n">
        <x:v>92305</x:v>
      </x:c>
    </x:row>
    <x:row r="1155">
      <x:c r="A1155" s="17" t="n">
        <x:v>44704</x:v>
      </x:c>
      <x:c r="B1155" s="18" t="n">
        <x:v>1847.95</x:v>
      </x:c>
      <x:c r="C1155" s="18" t="n">
        <x:v>1865.39</x:v>
      </x:c>
      <x:c r="D1155" s="18" t="n">
        <x:v>1843.32</x:v>
      </x:c>
      <x:c r="E1155" s="18" t="n">
        <x:v>1853.6</x:v>
      </x:c>
      <x:c r="F1155" s="19" t="n">
        <x:v>92035</x:v>
      </x:c>
    </x:row>
    <x:row r="1156">
      <x:c r="A1156" s="17" t="n">
        <x:v>44705</x:v>
      </x:c>
      <x:c r="B1156" s="18" t="n">
        <x:v>1853.3</x:v>
      </x:c>
      <x:c r="C1156" s="18" t="n">
        <x:v>1869.67</x:v>
      </x:c>
      <x:c r="D1156" s="18" t="n">
        <x:v>1849.4</x:v>
      </x:c>
      <x:c r="E1156" s="18" t="n">
        <x:v>1866.14</x:v>
      </x:c>
      <x:c r="F1156" s="19" t="n">
        <x:v>73402</x:v>
      </x:c>
    </x:row>
    <x:row r="1157">
      <x:c r="A1157" s="17" t="n">
        <x:v>44706</x:v>
      </x:c>
      <x:c r="B1157" s="18" t="n">
        <x:v>1865.24</x:v>
      </x:c>
      <x:c r="C1157" s="18" t="n">
        <x:v>1868.05</x:v>
      </x:c>
      <x:c r="D1157" s="18" t="n">
        <x:v>1842.05</x:v>
      </x:c>
      <x:c r="E1157" s="18" t="n">
        <x:v>1853.79</x:v>
      </x:c>
      <x:c r="F1157" s="19" t="n">
        <x:v>76578</x:v>
      </x:c>
    </x:row>
    <x:row r="1158">
      <x:c r="A1158" s="17" t="n">
        <x:v>44707</x:v>
      </x:c>
      <x:c r="B1158" s="18" t="n">
        <x:v>1852.72</x:v>
      </x:c>
      <x:c r="C1158" s="18" t="n">
        <x:v>1854.37</x:v>
      </x:c>
      <x:c r="D1158" s="18" t="n">
        <x:v>1840.78</x:v>
      </x:c>
      <x:c r="E1158" s="18" t="n">
        <x:v>1850.85</x:v>
      </x:c>
      <x:c r="F1158" s="19" t="n">
        <x:v>85299</x:v>
      </x:c>
    </x:row>
    <x:row r="1159">
      <x:c r="A1159" s="17" t="n">
        <x:v>44708</x:v>
      </x:c>
      <x:c r="B1159" s="18" t="n">
        <x:v>1850.63</x:v>
      </x:c>
      <x:c r="C1159" s="18" t="n">
        <x:v>1862</x:v>
      </x:c>
      <x:c r="D1159" s="18" t="n">
        <x:v>1847.96</x:v>
      </x:c>
      <x:c r="E1159" s="18" t="n">
        <x:v>1852.98</x:v>
      </x:c>
      <x:c r="F1159" s="19" t="n">
        <x:v>71429</x:v>
      </x:c>
    </x:row>
    <x:row r="1160">
      <x:c r="A1160" s="17" t="n">
        <x:v>44711</x:v>
      </x:c>
      <x:c r="B1160" s="18" t="n">
        <x:v>1852.24</x:v>
      </x:c>
      <x:c r="C1160" s="18" t="n">
        <x:v>1863.96</x:v>
      </x:c>
      <x:c r="D1160" s="18" t="n">
        <x:v>1848.22</x:v>
      </x:c>
      <x:c r="E1160" s="18" t="n">
        <x:v>1855.1</x:v>
      </x:c>
      <x:c r="F1160" s="19" t="n">
        <x:v>47882</x:v>
      </x:c>
    </x:row>
    <x:row r="1161">
      <x:c r="A1161" s="17" t="n">
        <x:v>44712</x:v>
      </x:c>
      <x:c r="B1161" s="18" t="n">
        <x:v>1856.03</x:v>
      </x:c>
      <x:c r="C1161" s="18" t="n">
        <x:v>1857.09</x:v>
      </x:c>
      <x:c r="D1161" s="18" t="n">
        <x:v>1835.1</x:v>
      </x:c>
      <x:c r="E1161" s="18" t="n">
        <x:v>1838.26</x:v>
      </x:c>
      <x:c r="F1161" s="19" t="n">
        <x:v>85700</x:v>
      </x:c>
    </x:row>
    <x:row r="1162">
      <x:c r="A1162" s="17" t="n">
        <x:v>44713</x:v>
      </x:c>
      <x:c r="B1162" s="18" t="n">
        <x:v>1836.74</x:v>
      </x:c>
      <x:c r="C1162" s="18" t="n">
        <x:v>1850.02</x:v>
      </x:c>
      <x:c r="D1162" s="18" t="n">
        <x:v>1828.5</x:v>
      </x:c>
      <x:c r="E1162" s="18" t="n">
        <x:v>1846.64</x:v>
      </x:c>
      <x:c r="F1162" s="19" t="n">
        <x:v>87039</x:v>
      </x:c>
    </x:row>
    <x:row r="1163">
      <x:c r="A1163" s="17" t="n">
        <x:v>44714</x:v>
      </x:c>
      <x:c r="B1163" s="18" t="n">
        <x:v>1847.13</x:v>
      </x:c>
      <x:c r="C1163" s="18" t="n">
        <x:v>1870.37</x:v>
      </x:c>
      <x:c r="D1163" s="18" t="n">
        <x:v>1844.13</x:v>
      </x:c>
      <x:c r="E1163" s="18" t="n">
        <x:v>1868.36</x:v>
      </x:c>
      <x:c r="F1163" s="19" t="n">
        <x:v>71969</x:v>
      </x:c>
    </x:row>
    <x:row r="1164">
      <x:c r="A1164" s="17" t="n">
        <x:v>44715</x:v>
      </x:c>
      <x:c r="B1164" s="18" t="n">
        <x:v>1868.8</x:v>
      </x:c>
      <x:c r="C1164" s="18" t="n">
        <x:v>1874.09</x:v>
      </x:c>
      <x:c r="D1164" s="18" t="n">
        <x:v>1847.38</x:v>
      </x:c>
      <x:c r="E1164" s="18" t="n">
        <x:v>1851.16</x:v>
      </x:c>
      <x:c r="F1164" s="19" t="n">
        <x:v>66139</x:v>
      </x:c>
    </x:row>
    <x:row r="1165">
      <x:c r="A1165" s="17" t="n">
        <x:v>44718</x:v>
      </x:c>
      <x:c r="B1165" s="18" t="n">
        <x:v>1850.56</x:v>
      </x:c>
      <x:c r="C1165" s="18" t="n">
        <x:v>1857.82</x:v>
      </x:c>
      <x:c r="D1165" s="18" t="n">
        <x:v>1839.84</x:v>
      </x:c>
      <x:c r="E1165" s="18" t="n">
        <x:v>1842.14</x:v>
      </x:c>
      <x:c r="F1165" s="19" t="n">
        <x:v>70516</x:v>
      </x:c>
    </x:row>
    <x:row r="1166">
      <x:c r="A1166" s="17" t="n">
        <x:v>44719</x:v>
      </x:c>
      <x:c r="B1166" s="18" t="n">
        <x:v>1840.79</x:v>
      </x:c>
      <x:c r="C1166" s="18" t="n">
        <x:v>1855.52</x:v>
      </x:c>
      <x:c r="D1166" s="18" t="n">
        <x:v>1837.03</x:v>
      </x:c>
      <x:c r="E1166" s="18" t="n">
        <x:v>1852.01</x:v>
      </x:c>
      <x:c r="F1166" s="19" t="n">
        <x:v>70501</x:v>
      </x:c>
    </x:row>
    <x:row r="1167">
      <x:c r="A1167" s="17" t="n">
        <x:v>44720</x:v>
      </x:c>
      <x:c r="B1167" s="18" t="n">
        <x:v>1852.56</x:v>
      </x:c>
      <x:c r="C1167" s="18" t="n">
        <x:v>1859.62</x:v>
      </x:c>
      <x:c r="D1167" s="18" t="n">
        <x:v>1844.61</x:v>
      </x:c>
      <x:c r="E1167" s="18" t="n">
        <x:v>1852.83</x:v>
      </x:c>
      <x:c r="F1167" s="19" t="n">
        <x:v>68372</x:v>
      </x:c>
    </x:row>
    <x:row r="1168">
      <x:c r="A1168" s="17" t="n">
        <x:v>44721</x:v>
      </x:c>
      <x:c r="B1168" s="18" t="n">
        <x:v>1852.74</x:v>
      </x:c>
      <x:c r="C1168" s="18" t="n">
        <x:v>1855.32</x:v>
      </x:c>
      <x:c r="D1168" s="18" t="n">
        <x:v>1840.03</x:v>
      </x:c>
      <x:c r="E1168" s="18" t="n">
        <x:v>1847.94</x:v>
      </x:c>
      <x:c r="F1168" s="19" t="n">
        <x:v>76898</x:v>
      </x:c>
    </x:row>
    <x:row r="1169">
      <x:c r="A1169" s="17" t="n">
        <x:v>44722</x:v>
      </x:c>
      <x:c r="B1169" s="18" t="n">
        <x:v>1847.73</x:v>
      </x:c>
      <x:c r="C1169" s="18" t="n">
        <x:v>1876</x:v>
      </x:c>
      <x:c r="D1169" s="18" t="n">
        <x:v>1825.13</x:v>
      </x:c>
      <x:c r="E1169" s="18" t="n">
        <x:v>1871.57</x:v>
      </x:c>
      <x:c r="F1169" s="19" t="n">
        <x:v>108302</x:v>
      </x:c>
    </x:row>
    <x:row r="1170">
      <x:c r="A1170" s="17" t="n">
        <x:v>44725</x:v>
      </x:c>
      <x:c r="B1170" s="18" t="n">
        <x:v>1878.2</x:v>
      </x:c>
      <x:c r="C1170" s="18" t="n">
        <x:v>1878.78</x:v>
      </x:c>
      <x:c r="D1170" s="18" t="n">
        <x:v>1819.06</x:v>
      </x:c>
      <x:c r="E1170" s="18" t="n">
        <x:v>1819.11</x:v>
      </x:c>
      <x:c r="F1170" s="19" t="n">
        <x:v>135566</x:v>
      </x:c>
    </x:row>
    <x:row r="1171">
      <x:c r="A1171" s="17" t="n">
        <x:v>44726</x:v>
      </x:c>
      <x:c r="B1171" s="18" t="n">
        <x:v>1815.05</x:v>
      </x:c>
      <x:c r="C1171" s="18" t="n">
        <x:v>1831.55</x:v>
      </x:c>
      <x:c r="D1171" s="18" t="n">
        <x:v>1805.17</x:v>
      </x:c>
      <x:c r="E1171" s="18" t="n">
        <x:v>1809.31</x:v>
      </x:c>
      <x:c r="F1171" s="19" t="n">
        <x:v>120799</x:v>
      </x:c>
    </x:row>
    <x:row r="1172">
      <x:c r="A1172" s="17" t="n">
        <x:v>44727</x:v>
      </x:c>
      <x:c r="B1172" s="18" t="n">
        <x:v>1807.31</x:v>
      </x:c>
      <x:c r="C1172" s="18" t="n">
        <x:v>1841.82</x:v>
      </x:c>
      <x:c r="D1172" s="18" t="n">
        <x:v>1807.31</x:v>
      </x:c>
      <x:c r="E1172" s="18" t="n">
        <x:v>1833.77</x:v>
      </x:c>
      <x:c r="F1172" s="19" t="n">
        <x:v>149000</x:v>
      </x:c>
    </x:row>
    <x:row r="1173">
      <x:c r="A1173" s="17" t="n">
        <x:v>44728</x:v>
      </x:c>
      <x:c r="B1173" s="18" t="n">
        <x:v>1833.07</x:v>
      </x:c>
      <x:c r="C1173" s="18" t="n">
        <x:v>1857.23</x:v>
      </x:c>
      <x:c r="D1173" s="18" t="n">
        <x:v>1815.32</x:v>
      </x:c>
      <x:c r="E1173" s="18" t="n">
        <x:v>1856.47</x:v>
      </x:c>
      <x:c r="F1173" s="19" t="n">
        <x:v>130247</x:v>
      </x:c>
    </x:row>
    <x:row r="1174">
      <x:c r="A1174" s="17" t="n">
        <x:v>44729</x:v>
      </x:c>
      <x:c r="B1174" s="18" t="n">
        <x:v>1853.58</x:v>
      </x:c>
      <x:c r="C1174" s="18" t="n">
        <x:v>1853.62</x:v>
      </x:c>
      <x:c r="D1174" s="18" t="n">
        <x:v>1833.94</x:v>
      </x:c>
      <x:c r="E1174" s="18" t="n">
        <x:v>1840.39</x:v>
      </x:c>
      <x:c r="F1174" s="19" t="n">
        <x:v>106475</x:v>
      </x:c>
    </x:row>
    <x:row r="1175">
      <x:c r="A1175" s="17" t="n">
        <x:v>44732</x:v>
      </x:c>
      <x:c r="B1175" s="18" t="n">
        <x:v>1835.91</x:v>
      </x:c>
      <x:c r="C1175" s="18" t="n">
        <x:v>1846.03</x:v>
      </x:c>
      <x:c r="D1175" s="18" t="n">
        <x:v>1834.48</x:v>
      </x:c>
      <x:c r="E1175" s="18" t="n">
        <x:v>1838.41</x:v>
      </x:c>
      <x:c r="F1175" s="19" t="n">
        <x:v>60387</x:v>
      </x:c>
    </x:row>
    <x:row r="1176">
      <x:c r="A1176" s="17" t="n">
        <x:v>44733</x:v>
      </x:c>
      <x:c r="B1176" s="18" t="n">
        <x:v>1837.77</x:v>
      </x:c>
      <x:c r="C1176" s="18" t="n">
        <x:v>1843.63</x:v>
      </x:c>
      <x:c r="D1176" s="18" t="n">
        <x:v>1828.67</x:v>
      </x:c>
      <x:c r="E1176" s="18" t="n">
        <x:v>1833.41</x:v>
      </x:c>
      <x:c r="F1176" s="19" t="n">
        <x:v>85637</x:v>
      </x:c>
    </x:row>
    <x:row r="1177">
      <x:c r="A1177" s="17" t="n">
        <x:v>44734</x:v>
      </x:c>
      <x:c r="B1177" s="18" t="n">
        <x:v>1832.38</x:v>
      </x:c>
      <x:c r="C1177" s="18" t="n">
        <x:v>1847.93</x:v>
      </x:c>
      <x:c r="D1177" s="18" t="n">
        <x:v>1823.48</x:v>
      </x:c>
      <x:c r="E1177" s="18" t="n">
        <x:v>1838.32</x:v>
      </x:c>
      <x:c r="F1177" s="19" t="n">
        <x:v>104772</x:v>
      </x:c>
    </x:row>
    <x:row r="1178">
      <x:c r="A1178" s="17" t="n">
        <x:v>44735</x:v>
      </x:c>
      <x:c r="B1178" s="18" t="n">
        <x:v>1837.17</x:v>
      </x:c>
      <x:c r="C1178" s="18" t="n">
        <x:v>1846.04</x:v>
      </x:c>
      <x:c r="D1178" s="18" t="n">
        <x:v>1822.58</x:v>
      </x:c>
      <x:c r="E1178" s="18" t="n">
        <x:v>1823.25</x:v>
      </x:c>
      <x:c r="F1178" s="19" t="n">
        <x:v>99920</x:v>
      </x:c>
    </x:row>
    <x:row r="1179">
      <x:c r="A1179" s="17" t="n">
        <x:v>44736</x:v>
      </x:c>
      <x:c r="B1179" s="18" t="n">
        <x:v>1823.83</x:v>
      </x:c>
      <x:c r="C1179" s="18" t="n">
        <x:v>1831.7</x:v>
      </x:c>
      <x:c r="D1179" s="18" t="n">
        <x:v>1816.92</x:v>
      </x:c>
      <x:c r="E1179" s="18" t="n">
        <x:v>1827.42</x:v>
      </x:c>
      <x:c r="F1179" s="19" t="n">
        <x:v>94785</x:v>
      </x:c>
    </x:row>
    <x:row r="1180">
      <x:c r="A1180" s="17" t="n">
        <x:v>44739</x:v>
      </x:c>
      <x:c r="B1180" s="18" t="n">
        <x:v>1835.82</x:v>
      </x:c>
      <x:c r="C1180" s="18" t="n">
        <x:v>1841.03</x:v>
      </x:c>
      <x:c r="D1180" s="18" t="n">
        <x:v>1820.81</x:v>
      </x:c>
      <x:c r="E1180" s="18" t="n">
        <x:v>1822.75</x:v>
      </x:c>
      <x:c r="F1180" s="19" t="n">
        <x:v>99952</x:v>
      </x:c>
    </x:row>
    <x:row r="1181">
      <x:c r="A1181" s="17" t="n">
        <x:v>44740</x:v>
      </x:c>
      <x:c r="B1181" s="18" t="n">
        <x:v>1822.65</x:v>
      </x:c>
      <x:c r="C1181" s="18" t="n">
        <x:v>1829.48</x:v>
      </x:c>
      <x:c r="D1181" s="18" t="n">
        <x:v>1818.37</x:v>
      </x:c>
      <x:c r="E1181" s="18" t="n">
        <x:v>1820.62</x:v>
      </x:c>
      <x:c r="F1181" s="19" t="n">
        <x:v>82501</x:v>
      </x:c>
    </x:row>
    <x:row r="1182">
      <x:c r="A1182" s="17" t="n">
        <x:v>44741</x:v>
      </x:c>
      <x:c r="B1182" s="18" t="n">
        <x:v>1819.14</x:v>
      </x:c>
      <x:c r="C1182" s="18" t="n">
        <x:v>1833.07</x:v>
      </x:c>
      <x:c r="D1182" s="18" t="n">
        <x:v>1812.16</x:v>
      </x:c>
      <x:c r="E1182" s="18" t="n">
        <x:v>1818.25</x:v>
      </x:c>
      <x:c r="F1182" s="19" t="n">
        <x:v>84542</x:v>
      </x:c>
    </x:row>
    <x:row r="1183">
      <x:c r="A1183" s="17" t="n">
        <x:v>44742</x:v>
      </x:c>
      <x:c r="B1183" s="18" t="n">
        <x:v>1817.97</x:v>
      </x:c>
      <x:c r="C1183" s="18" t="n">
        <x:v>1825.1</x:v>
      </x:c>
      <x:c r="D1183" s="18" t="n">
        <x:v>1802.75</x:v>
      </x:c>
      <x:c r="E1183" s="18" t="n">
        <x:v>1807.16</x:v>
      </x:c>
      <x:c r="F1183" s="19" t="n">
        <x:v>93535</x:v>
      </x:c>
    </x:row>
    <x:row r="1184">
      <x:c r="A1184" s="17" t="n">
        <x:v>44743</x:v>
      </x:c>
      <x:c r="B1184" s="18" t="n">
        <x:v>1806.65</x:v>
      </x:c>
      <x:c r="C1184" s="18" t="n">
        <x:v>1809.32</x:v>
      </x:c>
      <x:c r="D1184" s="18" t="n">
        <x:v>1784.45</x:v>
      </x:c>
      <x:c r="E1184" s="18" t="n">
        <x:v>1808.94</x:v>
      </x:c>
      <x:c r="F1184" s="19" t="n">
        <x:v>119807</x:v>
      </x:c>
    </x:row>
    <x:row r="1185">
      <x:c r="A1185" s="17" t="n">
        <x:v>44746</x:v>
      </x:c>
      <x:c r="B1185" s="18" t="n">
        <x:v>1811.41</x:v>
      </x:c>
      <x:c r="C1185" s="18" t="n">
        <x:v>1814.26</x:v>
      </x:c>
      <x:c r="D1185" s="18" t="n">
        <x:v>1803.99</x:v>
      </x:c>
      <x:c r="E1185" s="18" t="n">
        <x:v>1807.9</x:v>
      </x:c>
      <x:c r="F1185" s="19" t="n">
        <x:v>59315</x:v>
      </x:c>
    </x:row>
    <x:row r="1186">
      <x:c r="A1186" s="17" t="n">
        <x:v>44747</x:v>
      </x:c>
      <x:c r="B1186" s="18" t="n">
        <x:v>1807.95</x:v>
      </x:c>
      <x:c r="C1186" s="18" t="n">
        <x:v>1812.13</x:v>
      </x:c>
      <x:c r="D1186" s="18" t="n">
        <x:v>1763.95</x:v>
      </x:c>
      <x:c r="E1186" s="18" t="n">
        <x:v>1764.58</x:v>
      </x:c>
      <x:c r="F1186" s="19" t="n">
        <x:v>109297</x:v>
      </x:c>
    </x:row>
    <x:row r="1187">
      <x:c r="A1187" s="17" t="n">
        <x:v>44748</x:v>
      </x:c>
      <x:c r="B1187" s="18" t="n">
        <x:v>1766.12</x:v>
      </x:c>
      <x:c r="C1187" s="18" t="n">
        <x:v>1772.86</x:v>
      </x:c>
      <x:c r="D1187" s="18" t="n">
        <x:v>1732.25</x:v>
      </x:c>
      <x:c r="E1187" s="18" t="n">
        <x:v>1739.08</x:v>
      </x:c>
      <x:c r="F1187" s="19" t="n">
        <x:v>124697</x:v>
      </x:c>
    </x:row>
    <x:row r="1188">
      <x:c r="A1188" s="17" t="n">
        <x:v>44749</x:v>
      </x:c>
      <x:c r="B1188" s="18" t="n">
        <x:v>1740.04</x:v>
      </x:c>
      <x:c r="C1188" s="18" t="n">
        <x:v>1749.12</x:v>
      </x:c>
      <x:c r="D1188" s="18" t="n">
        <x:v>1736.5</x:v>
      </x:c>
      <x:c r="E1188" s="18" t="n">
        <x:v>1740.09</x:v>
      </x:c>
      <x:c r="F1188" s="19" t="n">
        <x:v>98852</x:v>
      </x:c>
    </x:row>
    <x:row r="1189">
      <x:c r="A1189" s="17" t="n">
        <x:v>44750</x:v>
      </x:c>
      <x:c r="B1189" s="18" t="n">
        <x:v>1740.59</x:v>
      </x:c>
      <x:c r="C1189" s="18" t="n">
        <x:v>1752.45</x:v>
      </x:c>
      <x:c r="D1189" s="18" t="n">
        <x:v>1732.95</x:v>
      </x:c>
      <x:c r="E1189" s="18" t="n">
        <x:v>1742.45</x:v>
      </x:c>
      <x:c r="F1189" s="19" t="n">
        <x:v>92256</x:v>
      </x:c>
    </x:row>
    <x:row r="1190">
      <x:c r="A1190" s="17" t="n">
        <x:v>44753</x:v>
      </x:c>
      <x:c r="B1190" s="18" t="n">
        <x:v>1741.09</x:v>
      </x:c>
      <x:c r="C1190" s="18" t="n">
        <x:v>1744.51</x:v>
      </x:c>
      <x:c r="D1190" s="18" t="n">
        <x:v>1731.37</x:v>
      </x:c>
      <x:c r="E1190" s="18" t="n">
        <x:v>1734.02</x:v>
      </x:c>
      <x:c r="F1190" s="19" t="n">
        <x:v>91528</x:v>
      </x:c>
    </x:row>
    <x:row r="1191">
      <x:c r="A1191" s="17" t="n">
        <x:v>44754</x:v>
      </x:c>
      <x:c r="B1191" s="18" t="n">
        <x:v>1733.57</x:v>
      </x:c>
      <x:c r="C1191" s="18" t="n">
        <x:v>1744.2</x:v>
      </x:c>
      <x:c r="D1191" s="18" t="n">
        <x:v>1723.23</x:v>
      </x:c>
      <x:c r="E1191" s="18" t="n">
        <x:v>1726.09</x:v>
      </x:c>
      <x:c r="F1191" s="19" t="n">
        <x:v>106343</x:v>
      </x:c>
    </x:row>
    <x:row r="1192">
      <x:c r="A1192" s="17" t="n">
        <x:v>44755</x:v>
      </x:c>
      <x:c r="B1192" s="18" t="n">
        <x:v>1725.84</x:v>
      </x:c>
      <x:c r="C1192" s="18" t="n">
        <x:v>1745.42</x:v>
      </x:c>
      <x:c r="D1192" s="18" t="n">
        <x:v>1707.03</x:v>
      </x:c>
      <x:c r="E1192" s="18" t="n">
        <x:v>1735.49</x:v>
      </x:c>
      <x:c r="F1192" s="19" t="n">
        <x:v>127180</x:v>
      </x:c>
    </x:row>
    <x:row r="1193">
      <x:c r="A1193" s="17" t="n">
        <x:v>44756</x:v>
      </x:c>
      <x:c r="B1193" s="18" t="n">
        <x:v>1735.68</x:v>
      </x:c>
      <x:c r="C1193" s="18" t="n">
        <x:v>1736.28</x:v>
      </x:c>
      <x:c r="D1193" s="18" t="n">
        <x:v>1697.61</x:v>
      </x:c>
      <x:c r="E1193" s="18" t="n">
        <x:v>1709.72</x:v>
      </x:c>
      <x:c r="F1193" s="19" t="n">
        <x:v>141342</x:v>
      </x:c>
    </x:row>
    <x:row r="1194">
      <x:c r="A1194" s="17" t="n">
        <x:v>44757</x:v>
      </x:c>
      <x:c r="B1194" s="18" t="n">
        <x:v>1706.25</x:v>
      </x:c>
      <x:c r="C1194" s="18" t="n">
        <x:v>1716.62</x:v>
      </x:c>
      <x:c r="D1194" s="18" t="n">
        <x:v>1699.09</x:v>
      </x:c>
      <x:c r="E1194" s="18" t="n">
        <x:v>1707.32</x:v>
      </x:c>
      <x:c r="F1194" s="19" t="n">
        <x:v>110443</x:v>
      </x:c>
    </x:row>
    <x:row r="1195">
      <x:c r="A1195" s="17" t="n">
        <x:v>44760</x:v>
      </x:c>
      <x:c r="B1195" s="18" t="n">
        <x:v>1706.71</x:v>
      </x:c>
      <x:c r="C1195" s="18" t="n">
        <x:v>1723.95</x:v>
      </x:c>
      <x:c r="D1195" s="18" t="n">
        <x:v>1705.94</x:v>
      </x:c>
      <x:c r="E1195" s="18" t="n">
        <x:v>1708.99</x:v>
      </x:c>
      <x:c r="F1195" s="19" t="n">
        <x:v>108272</x:v>
      </x:c>
    </x:row>
    <x:row r="1196">
      <x:c r="A1196" s="17" t="n">
        <x:v>44761</x:v>
      </x:c>
      <x:c r="B1196" s="18" t="n">
        <x:v>1710</x:v>
      </x:c>
      <x:c r="C1196" s="18" t="n">
        <x:v>1718.42</x:v>
      </x:c>
      <x:c r="D1196" s="18" t="n">
        <x:v>1705.38</x:v>
      </x:c>
      <x:c r="E1196" s="18" t="n">
        <x:v>1711.56</x:v>
      </x:c>
      <x:c r="F1196" s="19" t="n">
        <x:v>98632</x:v>
      </x:c>
    </x:row>
    <x:row r="1197">
      <x:c r="A1197" s="17" t="n">
        <x:v>44762</x:v>
      </x:c>
      <x:c r="B1197" s="18" t="n">
        <x:v>1711.46</x:v>
      </x:c>
      <x:c r="C1197" s="18" t="n">
        <x:v>1714.46</x:v>
      </x:c>
      <x:c r="D1197" s="18" t="n">
        <x:v>1692.46</x:v>
      </x:c>
      <x:c r="E1197" s="18" t="n">
        <x:v>1696.53</x:v>
      </x:c>
      <x:c r="F1197" s="19" t="n">
        <x:v>90656</x:v>
      </x:c>
    </x:row>
    <x:row r="1198">
      <x:c r="A1198" s="17" t="n">
        <x:v>44763</x:v>
      </x:c>
      <x:c r="B1198" s="18" t="n">
        <x:v>1696.61</x:v>
      </x:c>
      <x:c r="C1198" s="18" t="n">
        <x:v>1720.32</x:v>
      </x:c>
      <x:c r="D1198" s="18" t="n">
        <x:v>1680.84</x:v>
      </x:c>
      <x:c r="E1198" s="18" t="n">
        <x:v>1718.2</x:v>
      </x:c>
      <x:c r="F1198" s="19" t="n">
        <x:v>107428</x:v>
      </x:c>
    </x:row>
    <x:row r="1199">
      <x:c r="A1199" s="17" t="n">
        <x:v>44764</x:v>
      </x:c>
      <x:c r="B1199" s="18" t="n">
        <x:v>1717.99</x:v>
      </x:c>
      <x:c r="C1199" s="18" t="n">
        <x:v>1739.31</x:v>
      </x:c>
      <x:c r="D1199" s="18" t="n">
        <x:v>1712.9</x:v>
      </x:c>
      <x:c r="E1199" s="18" t="n">
        <x:v>1727.38</x:v>
      </x:c>
      <x:c r="F1199" s="19" t="n">
        <x:v>109099</x:v>
      </x:c>
    </x:row>
    <x:row r="1200">
      <x:c r="A1200" s="17" t="n">
        <x:v>44767</x:v>
      </x:c>
      <x:c r="B1200" s="18" t="n">
        <x:v>1726.64</x:v>
      </x:c>
      <x:c r="C1200" s="18" t="n">
        <x:v>1736.28</x:v>
      </x:c>
      <x:c r="D1200" s="18" t="n">
        <x:v>1714.77</x:v>
      </x:c>
      <x:c r="E1200" s="18" t="n">
        <x:v>1719.64</x:v>
      </x:c>
      <x:c r="F1200" s="19" t="n">
        <x:v>106336</x:v>
      </x:c>
    </x:row>
    <x:row r="1201">
      <x:c r="A1201" s="17" t="n">
        <x:v>44768</x:v>
      </x:c>
      <x:c r="B1201" s="18" t="n">
        <x:v>1719.11</x:v>
      </x:c>
      <x:c r="C1201" s="18" t="n">
        <x:v>1728.22</x:v>
      </x:c>
      <x:c r="D1201" s="18" t="n">
        <x:v>1713.66</x:v>
      </x:c>
      <x:c r="E1201" s="18" t="n">
        <x:v>1717.2</x:v>
      </x:c>
      <x:c r="F1201" s="19" t="n">
        <x:v>93441</x:v>
      </x:c>
    </x:row>
    <x:row r="1202">
      <x:c r="A1202" s="17" t="n">
        <x:v>44769</x:v>
      </x:c>
      <x:c r="B1202" s="18" t="n">
        <x:v>1717.38</x:v>
      </x:c>
      <x:c r="C1202" s="18" t="n">
        <x:v>1740.32</x:v>
      </x:c>
      <x:c r="D1202" s="18" t="n">
        <x:v>1711.52</x:v>
      </x:c>
      <x:c r="E1202" s="18" t="n">
        <x:v>1734.33</x:v>
      </x:c>
      <x:c r="F1202" s="19" t="n">
        <x:v>100623</x:v>
      </x:c>
    </x:row>
    <x:row r="1203">
      <x:c r="A1203" s="17" t="n">
        <x:v>44770</x:v>
      </x:c>
      <x:c r="B1203" s="18" t="n">
        <x:v>1734.4</x:v>
      </x:c>
      <x:c r="C1203" s="18" t="n">
        <x:v>1757.11</x:v>
      </x:c>
      <x:c r="D1203" s="18" t="n">
        <x:v>1734.06</x:v>
      </x:c>
      <x:c r="E1203" s="18" t="n">
        <x:v>1755.83</x:v>
      </x:c>
      <x:c r="F1203" s="19" t="n">
        <x:v>124048</x:v>
      </x:c>
    </x:row>
    <x:row r="1204">
      <x:c r="A1204" s="17" t="n">
        <x:v>44771</x:v>
      </x:c>
      <x:c r="B1204" s="18" t="n">
        <x:v>1755.29</x:v>
      </x:c>
      <x:c r="C1204" s="18" t="n">
        <x:v>1767.93</x:v>
      </x:c>
      <x:c r="D1204" s="18" t="n">
        <x:v>1751.98</x:v>
      </x:c>
      <x:c r="E1204" s="18" t="n">
        <x:v>1766</x:v>
      </x:c>
      <x:c r="F1204" s="19" t="n">
        <x:v>120806</x:v>
      </x:c>
    </x:row>
    <x:row r="1205">
      <x:c r="A1205" s="17" t="n">
        <x:v>44774</x:v>
      </x:c>
      <x:c r="B1205" s="18" t="n">
        <x:v>1764.75</x:v>
      </x:c>
      <x:c r="C1205" s="18" t="n">
        <x:v>1775.23</x:v>
      </x:c>
      <x:c r="D1205" s="18" t="n">
        <x:v>1758.37</x:v>
      </x:c>
      <x:c r="E1205" s="18" t="n">
        <x:v>1772.12</x:v>
      </x:c>
      <x:c r="F1205" s="19" t="n">
        <x:v>111292</x:v>
      </x:c>
    </x:row>
    <x:row r="1206">
      <x:c r="A1206" s="17" t="n">
        <x:v>44775</x:v>
      </x:c>
      <x:c r="B1206" s="18" t="n">
        <x:v>1771.71</x:v>
      </x:c>
      <x:c r="C1206" s="18" t="n">
        <x:v>1788.06</x:v>
      </x:c>
      <x:c r="D1206" s="18" t="n">
        <x:v>1760.5</x:v>
      </x:c>
      <x:c r="E1206" s="18" t="n">
        <x:v>1761.04</x:v>
      </x:c>
      <x:c r="F1206" s="19" t="n">
        <x:v>123396</x:v>
      </x:c>
    </x:row>
    <x:row r="1207">
      <x:c r="A1207" s="17" t="n">
        <x:v>44776</x:v>
      </x:c>
      <x:c r="B1207" s="18" t="n">
        <x:v>1761.28</x:v>
      </x:c>
      <x:c r="C1207" s="18" t="n">
        <x:v>1772.8</x:v>
      </x:c>
      <x:c r="D1207" s="18" t="n">
        <x:v>1754.34</x:v>
      </x:c>
      <x:c r="E1207" s="18" t="n">
        <x:v>1765.47</x:v>
      </x:c>
      <x:c r="F1207" s="19" t="n">
        <x:v>93674</x:v>
      </x:c>
    </x:row>
    <x:row r="1208">
      <x:c r="A1208" s="17" t="n">
        <x:v>44777</x:v>
      </x:c>
      <x:c r="B1208" s="18" t="n">
        <x:v>1765.31</x:v>
      </x:c>
      <x:c r="C1208" s="18" t="n">
        <x:v>1794.95</x:v>
      </x:c>
      <x:c r="D1208" s="18" t="n">
        <x:v>1763.16</x:v>
      </x:c>
      <x:c r="E1208" s="18" t="n">
        <x:v>1791.13</x:v>
      </x:c>
      <x:c r="F1208" s="19" t="n">
        <x:v>85439</x:v>
      </x:c>
    </x:row>
    <x:row r="1209">
      <x:c r="A1209" s="17" t="n">
        <x:v>44778</x:v>
      </x:c>
      <x:c r="B1209" s="18" t="n">
        <x:v>1790.95</x:v>
      </x:c>
      <x:c r="C1209" s="18" t="n">
        <x:v>1794.89</x:v>
      </x:c>
      <x:c r="D1209" s="18" t="n">
        <x:v>1764.98</x:v>
      </x:c>
      <x:c r="E1209" s="18" t="n">
        <x:v>1775.42</x:v>
      </x:c>
      <x:c r="F1209" s="19" t="n">
        <x:v>114726</x:v>
      </x:c>
    </x:row>
    <x:row r="1210">
      <x:c r="A1210" s="17" t="n">
        <x:v>44781</x:v>
      </x:c>
      <x:c r="B1210" s="18" t="n">
        <x:v>1771.34</x:v>
      </x:c>
      <x:c r="C1210" s="18" t="n">
        <x:v>1790.01</x:v>
      </x:c>
      <x:c r="D1210" s="18" t="n">
        <x:v>1770.82</x:v>
      </x:c>
      <x:c r="E1210" s="18" t="n">
        <x:v>1788.98</x:v>
      </x:c>
      <x:c r="F1210" s="19" t="n">
        <x:v>90152</x:v>
      </x:c>
    </x:row>
    <x:row r="1211">
      <x:c r="A1211" s="17" t="n">
        <x:v>44782</x:v>
      </x:c>
      <x:c r="B1211" s="18" t="n">
        <x:v>1788.78</x:v>
      </x:c>
      <x:c r="C1211" s="18" t="n">
        <x:v>1800.45</x:v>
      </x:c>
      <x:c r="D1211" s="18" t="n">
        <x:v>1783.23</x:v>
      </x:c>
      <x:c r="E1211" s="18" t="n">
        <x:v>1794.31</x:v>
      </x:c>
      <x:c r="F1211" s="19" t="n">
        <x:v>84869</x:v>
      </x:c>
    </x:row>
    <x:row r="1212">
      <x:c r="A1212" s="17" t="n">
        <x:v>44783</x:v>
      </x:c>
      <x:c r="B1212" s="18" t="n">
        <x:v>1794.52</x:v>
      </x:c>
      <x:c r="C1212" s="18" t="n">
        <x:v>1807.87</x:v>
      </x:c>
      <x:c r="D1212" s="18" t="n">
        <x:v>1787.62</x:v>
      </x:c>
      <x:c r="E1212" s="18" t="n">
        <x:v>1792.19</x:v>
      </x:c>
      <x:c r="F1212" s="19" t="n">
        <x:v>106848</x:v>
      </x:c>
    </x:row>
    <x:row r="1213">
      <x:c r="A1213" s="17" t="n">
        <x:v>44784</x:v>
      </x:c>
      <x:c r="B1213" s="18" t="n">
        <x:v>1792.05</x:v>
      </x:c>
      <x:c r="C1213" s="18" t="n">
        <x:v>1799.31</x:v>
      </x:c>
      <x:c r="D1213" s="18" t="n">
        <x:v>1783.59</x:v>
      </x:c>
      <x:c r="E1213" s="18" t="n">
        <x:v>1789.44</x:v>
      </x:c>
      <x:c r="F1213" s="19" t="n">
        <x:v>103248</x:v>
      </x:c>
    </x:row>
    <x:row r="1214">
      <x:c r="A1214" s="17" t="n">
        <x:v>44785</x:v>
      </x:c>
      <x:c r="B1214" s="18" t="n">
        <x:v>1789.81</x:v>
      </x:c>
      <x:c r="C1214" s="18" t="n">
        <x:v>1802.11</x:v>
      </x:c>
      <x:c r="D1214" s="18" t="n">
        <x:v>1784.88</x:v>
      </x:c>
      <x:c r="E1214" s="18" t="n">
        <x:v>1801.62</x:v>
      </x:c>
      <x:c r="F1214" s="19" t="n">
        <x:v>98803</x:v>
      </x:c>
    </x:row>
    <x:row r="1215">
      <x:c r="A1215" s="17" t="n">
        <x:v>44788</x:v>
      </x:c>
      <x:c r="B1215" s="18" t="n">
        <x:v>1801.9</x:v>
      </x:c>
      <x:c r="C1215" s="18" t="n">
        <x:v>1802.27</x:v>
      </x:c>
      <x:c r="D1215" s="18" t="n">
        <x:v>1772.98</x:v>
      </x:c>
      <x:c r="E1215" s="18" t="n">
        <x:v>1779.42</x:v>
      </x:c>
      <x:c r="F1215" s="19" t="n">
        <x:v>103692</x:v>
      </x:c>
    </x:row>
    <x:row r="1216">
      <x:c r="A1216" s="17" t="n">
        <x:v>44789</x:v>
      </x:c>
      <x:c r="B1216" s="18" t="n">
        <x:v>1779.64</x:v>
      </x:c>
      <x:c r="C1216" s="18" t="n">
        <x:v>1783.09</x:v>
      </x:c>
      <x:c r="D1216" s="18" t="n">
        <x:v>1771.47</x:v>
      </x:c>
      <x:c r="E1216" s="18" t="n">
        <x:v>1775.46</x:v>
      </x:c>
      <x:c r="F1216" s="19" t="n">
        <x:v>89028</x:v>
      </x:c>
    </x:row>
    <x:row r="1217">
      <x:c r="A1217" s="17" t="n">
        <x:v>44790</x:v>
      </x:c>
      <x:c r="B1217" s="18" t="n">
        <x:v>1775.74</x:v>
      </x:c>
      <x:c r="C1217" s="18" t="n">
        <x:v>1782.34</x:v>
      </x:c>
      <x:c r="D1217" s="18" t="n">
        <x:v>1759.8</x:v>
      </x:c>
      <x:c r="E1217" s="18" t="n">
        <x:v>1762</x:v>
      </x:c>
      <x:c r="F1217" s="19" t="n">
        <x:v>114566</x:v>
      </x:c>
    </x:row>
    <x:row r="1218">
      <x:c r="A1218" s="17" t="n">
        <x:v>44791</x:v>
      </x:c>
      <x:c r="B1218" s="18" t="n">
        <x:v>1762.46</x:v>
      </x:c>
      <x:c r="C1218" s="18" t="n">
        <x:v>1772.4</x:v>
      </x:c>
      <x:c r="D1218" s="18" t="n">
        <x:v>1755.35</x:v>
      </x:c>
      <x:c r="E1218" s="18" t="n">
        <x:v>1758.38</x:v>
      </x:c>
      <x:c r="F1218" s="19" t="n">
        <x:v>102931</x:v>
      </x:c>
    </x:row>
    <x:row r="1219">
      <x:c r="A1219" s="17" t="n">
        <x:v>44792</x:v>
      </x:c>
      <x:c r="B1219" s="18" t="n">
        <x:v>1758.94</x:v>
      </x:c>
      <x:c r="C1219" s="18" t="n">
        <x:v>1759.31</x:v>
      </x:c>
      <x:c r="D1219" s="18" t="n">
        <x:v>1745.54</x:v>
      </x:c>
      <x:c r="E1219" s="18" t="n">
        <x:v>1747.28</x:v>
      </x:c>
      <x:c r="F1219" s="19" t="n">
        <x:v>105013</x:v>
      </x:c>
    </x:row>
    <x:row r="1220">
      <x:c r="A1220" s="17" t="n">
        <x:v>44795</x:v>
      </x:c>
      <x:c r="B1220" s="18" t="n">
        <x:v>1746.52</x:v>
      </x:c>
      <x:c r="C1220" s="18" t="n">
        <x:v>1749.06</x:v>
      </x:c>
      <x:c r="D1220" s="18" t="n">
        <x:v>1727.77</x:v>
      </x:c>
      <x:c r="E1220" s="18" t="n">
        <x:v>1736.15</x:v>
      </x:c>
      <x:c r="F1220" s="19" t="n">
        <x:v>104711</x:v>
      </x:c>
    </x:row>
    <x:row r="1221">
      <x:c r="A1221" s="17" t="n">
        <x:v>44796</x:v>
      </x:c>
      <x:c r="B1221" s="18" t="n">
        <x:v>1735.77</x:v>
      </x:c>
      <x:c r="C1221" s="18" t="n">
        <x:v>1754.11</x:v>
      </x:c>
      <x:c r="D1221" s="18" t="n">
        <x:v>1730.82</x:v>
      </x:c>
      <x:c r="E1221" s="18" t="n">
        <x:v>1747.79</x:v>
      </x:c>
      <x:c r="F1221" s="19" t="n">
        <x:v>106781</x:v>
      </x:c>
    </x:row>
    <x:row r="1222">
      <x:c r="A1222" s="17" t="n">
        <x:v>44797</x:v>
      </x:c>
      <x:c r="B1222" s="18" t="n">
        <x:v>1747.65</x:v>
      </x:c>
      <x:c r="C1222" s="18" t="n">
        <x:v>1755.9</x:v>
      </x:c>
      <x:c r="D1222" s="18" t="n">
        <x:v>1742.46</x:v>
      </x:c>
      <x:c r="E1222" s="18" t="n">
        <x:v>1751.29</x:v>
      </x:c>
      <x:c r="F1222" s="19" t="n">
        <x:v>100665</x:v>
      </x:c>
    </x:row>
    <x:row r="1223">
      <x:c r="A1223" s="17" t="n">
        <x:v>44798</x:v>
      </x:c>
      <x:c r="B1223" s="18" t="n">
        <x:v>1751.41</x:v>
      </x:c>
      <x:c r="C1223" s="18" t="n">
        <x:v>1765.5</x:v>
      </x:c>
      <x:c r="D1223" s="18" t="n">
        <x:v>1749.98</x:v>
      </x:c>
      <x:c r="E1223" s="18" t="n">
        <x:v>1758.62</x:v>
      </x:c>
      <x:c r="F1223" s="19" t="n">
        <x:v>100524</x:v>
      </x:c>
    </x:row>
    <x:row r="1224">
      <x:c r="A1224" s="17" t="n">
        <x:v>44799</x:v>
      </x:c>
      <x:c r="B1224" s="18" t="n">
        <x:v>1758.55</x:v>
      </x:c>
      <x:c r="C1224" s="18" t="n">
        <x:v>1758.82</x:v>
      </x:c>
      <x:c r="D1224" s="18" t="n">
        <x:v>1734.2</x:v>
      </x:c>
      <x:c r="E1224" s="18" t="n">
        <x:v>1738.08</x:v>
      </x:c>
      <x:c r="F1224" s="19" t="n">
        <x:v>121563</x:v>
      </x:c>
    </x:row>
    <x:row r="1225">
      <x:c r="A1225" s="17" t="n">
        <x:v>44802</x:v>
      </x:c>
      <x:c r="B1225" s="18" t="n">
        <x:v>1735.95</x:v>
      </x:c>
      <x:c r="C1225" s="18" t="n">
        <x:v>1745.52</x:v>
      </x:c>
      <x:c r="D1225" s="18" t="n">
        <x:v>1720.31</x:v>
      </x:c>
      <x:c r="E1225" s="18" t="n">
        <x:v>1737.45</x:v>
      </x:c>
      <x:c r="F1225" s="19" t="n">
        <x:v>111956</x:v>
      </x:c>
    </x:row>
    <x:row r="1226">
      <x:c r="A1226" s="17" t="n">
        <x:v>44803</x:v>
      </x:c>
      <x:c r="B1226" s="18" t="n">
        <x:v>1737.85</x:v>
      </x:c>
      <x:c r="C1226" s="18" t="n">
        <x:v>1740.55</x:v>
      </x:c>
      <x:c r="D1226" s="18" t="n">
        <x:v>1721.18</x:v>
      </x:c>
      <x:c r="E1226" s="18" t="n">
        <x:v>1724.23</x:v>
      </x:c>
      <x:c r="F1226" s="19" t="n">
        <x:v>109497</x:v>
      </x:c>
    </x:row>
    <x:row r="1227">
      <x:c r="A1227" s="17" t="n">
        <x:v>44804</x:v>
      </x:c>
      <x:c r="B1227" s="18" t="n">
        <x:v>1723.38</x:v>
      </x:c>
      <x:c r="C1227" s="18" t="n">
        <x:v>1726.52</x:v>
      </x:c>
      <x:c r="D1227" s="18" t="n">
        <x:v>1709.57</x:v>
      </x:c>
      <x:c r="E1227" s="18" t="n">
        <x:v>1710.99</x:v>
      </x:c>
      <x:c r="F1227" s="19" t="n">
        <x:v>119867</x:v>
      </x:c>
    </x:row>
    <x:row r="1228">
      <x:c r="A1228" s="17" t="n">
        <x:v>44805</x:v>
      </x:c>
      <x:c r="B1228" s="18" t="n">
        <x:v>1711.05</x:v>
      </x:c>
      <x:c r="C1228" s="18" t="n">
        <x:v>1711.39</x:v>
      </x:c>
      <x:c r="D1228" s="18" t="n">
        <x:v>1688.8</x:v>
      </x:c>
      <x:c r="E1228" s="18" t="n">
        <x:v>1697.55</x:v>
      </x:c>
      <x:c r="F1228" s="19" t="n">
        <x:v>124453</x:v>
      </x:c>
    </x:row>
    <x:row r="1229">
      <x:c r="A1229" s="17" t="n">
        <x:v>44806</x:v>
      </x:c>
      <x:c r="B1229" s="18" t="n">
        <x:v>1697.58</x:v>
      </x:c>
      <x:c r="C1229" s="18" t="n">
        <x:v>1717.98</x:v>
      </x:c>
      <x:c r="D1229" s="18" t="n">
        <x:v>1694.99</x:v>
      </x:c>
      <x:c r="E1229" s="18" t="n">
        <x:v>1712.78</x:v>
      </x:c>
      <x:c r="F1229" s="19" t="n">
        <x:v>114398</x:v>
      </x:c>
    </x:row>
    <x:row r="1230">
      <x:c r="A1230" s="17" t="n">
        <x:v>44809</x:v>
      </x:c>
      <x:c r="B1230" s="18" t="n">
        <x:v>1711.56</x:v>
      </x:c>
      <x:c r="C1230" s="18" t="n">
        <x:v>1715.75</x:v>
      </x:c>
      <x:c r="D1230" s="18" t="n">
        <x:v>1707.71</x:v>
      </x:c>
      <x:c r="E1230" s="18" t="n">
        <x:v>1710.07</x:v>
      </x:c>
      <x:c r="F1230" s="19" t="n">
        <x:v>61978</x:v>
      </x:c>
    </x:row>
    <x:row r="1231">
      <x:c r="A1231" s="17" t="n">
        <x:v>44810</x:v>
      </x:c>
      <x:c r="B1231" s="18" t="n">
        <x:v>1710.63</x:v>
      </x:c>
      <x:c r="C1231" s="18" t="n">
        <x:v>1726.77</x:v>
      </x:c>
      <x:c r="D1231" s="18" t="n">
        <x:v>1699.85</x:v>
      </x:c>
      <x:c r="E1231" s="18" t="n">
        <x:v>1701.9</x:v>
      </x:c>
      <x:c r="F1231" s="19" t="n">
        <x:v>120259</x:v>
      </x:c>
    </x:row>
    <x:row r="1232">
      <x:c r="A1232" s="17" t="n">
        <x:v>44811</x:v>
      </x:c>
      <x:c r="B1232" s="18" t="n">
        <x:v>1701.97</x:v>
      </x:c>
      <x:c r="C1232" s="18" t="n">
        <x:v>1719.39</x:v>
      </x:c>
      <x:c r="D1232" s="18" t="n">
        <x:v>1691.27</x:v>
      </x:c>
      <x:c r="E1232" s="18" t="n">
        <x:v>1718.27</x:v>
      </x:c>
      <x:c r="F1232" s="19" t="n">
        <x:v>127066</x:v>
      </x:c>
    </x:row>
    <x:row r="1233">
      <x:c r="A1233" s="17" t="n">
        <x:v>44812</x:v>
      </x:c>
      <x:c r="B1233" s="18" t="n">
        <x:v>1718.58</x:v>
      </x:c>
      <x:c r="C1233" s="18" t="n">
        <x:v>1728.2</x:v>
      </x:c>
      <x:c r="D1233" s="18" t="n">
        <x:v>1703.96</x:v>
      </x:c>
      <x:c r="E1233" s="18" t="n">
        <x:v>1708.42</x:v>
      </x:c>
      <x:c r="F1233" s="19" t="n">
        <x:v>133708</x:v>
      </x:c>
    </x:row>
    <x:row r="1234">
      <x:c r="A1234" s="17" t="n">
        <x:v>44813</x:v>
      </x:c>
      <x:c r="B1234" s="18" t="n">
        <x:v>1708.68</x:v>
      </x:c>
      <x:c r="C1234" s="18" t="n">
        <x:v>1729.41</x:v>
      </x:c>
      <x:c r="D1234" s="18" t="n">
        <x:v>1708.31</x:v>
      </x:c>
      <x:c r="E1234" s="18" t="n">
        <x:v>1716.85</x:v>
      </x:c>
      <x:c r="F1234" s="19" t="n">
        <x:v>110922</x:v>
      </x:c>
    </x:row>
    <x:row r="1235">
      <x:c r="A1235" s="17" t="n">
        <x:v>44816</x:v>
      </x:c>
      <x:c r="B1235" s="18" t="n">
        <x:v>1718.58</x:v>
      </x:c>
      <x:c r="C1235" s="18" t="n">
        <x:v>1735.13</x:v>
      </x:c>
      <x:c r="D1235" s="18" t="n">
        <x:v>1711.95</x:v>
      </x:c>
      <x:c r="E1235" s="18" t="n">
        <x:v>1724.69</x:v>
      </x:c>
      <x:c r="F1235" s="19" t="n">
        <x:v>108748</x:v>
      </x:c>
    </x:row>
    <x:row r="1236">
      <x:c r="A1236" s="17" t="n">
        <x:v>44817</x:v>
      </x:c>
      <x:c r="B1236" s="18" t="n">
        <x:v>1724.53</x:v>
      </x:c>
      <x:c r="C1236" s="18" t="n">
        <x:v>1731.82</x:v>
      </x:c>
      <x:c r="D1236" s="18" t="n">
        <x:v>1697.11</x:v>
      </x:c>
      <x:c r="E1236" s="18" t="n">
        <x:v>1702.32</x:v>
      </x:c>
      <x:c r="F1236" s="19" t="n">
        <x:v>125535</x:v>
      </x:c>
    </x:row>
    <x:row r="1237">
      <x:c r="A1237" s="17" t="n">
        <x:v>44818</x:v>
      </x:c>
      <x:c r="B1237" s="18" t="n">
        <x:v>1701.26</x:v>
      </x:c>
      <x:c r="C1237" s="18" t="n">
        <x:v>1707.11</x:v>
      </x:c>
      <x:c r="D1237" s="18" t="n">
        <x:v>1693.67</x:v>
      </x:c>
      <x:c r="E1237" s="18" t="n">
        <x:v>1697.36</x:v>
      </x:c>
      <x:c r="F1237" s="19" t="n">
        <x:v>126450</x:v>
      </x:c>
    </x:row>
    <x:row r="1238">
      <x:c r="A1238" s="17" t="n">
        <x:v>44819</x:v>
      </x:c>
      <x:c r="B1238" s="18" t="n">
        <x:v>1697.56</x:v>
      </x:c>
      <x:c r="C1238" s="18" t="n">
        <x:v>1698.24</x:v>
      </x:c>
      <x:c r="D1238" s="18" t="n">
        <x:v>1660.35</x:v>
      </x:c>
      <x:c r="E1238" s="18" t="n">
        <x:v>1664.56</x:v>
      </x:c>
      <x:c r="F1238" s="19" t="n">
        <x:v>121070</x:v>
      </x:c>
    </x:row>
    <x:row r="1239">
      <x:c r="A1239" s="17" t="n">
        <x:v>44820</x:v>
      </x:c>
      <x:c r="B1239" s="18" t="n">
        <x:v>1664.71</x:v>
      </x:c>
      <x:c r="C1239" s="18" t="n">
        <x:v>1680.34</x:v>
      </x:c>
      <x:c r="D1239" s="18" t="n">
        <x:v>1654.16</x:v>
      </x:c>
      <x:c r="E1239" s="18" t="n">
        <x:v>1675.01</x:v>
      </x:c>
      <x:c r="F1239" s="19" t="n">
        <x:v>118818</x:v>
      </x:c>
    </x:row>
    <x:row r="1240">
      <x:c r="A1240" s="17" t="n">
        <x:v>44823</x:v>
      </x:c>
      <x:c r="B1240" s="18" t="n">
        <x:v>1675.02</x:v>
      </x:c>
      <x:c r="C1240" s="18" t="n">
        <x:v>1680</x:v>
      </x:c>
      <x:c r="D1240" s="18" t="n">
        <x:v>1659.63</x:v>
      </x:c>
      <x:c r="E1240" s="18" t="n">
        <x:v>1675.71</x:v>
      </x:c>
      <x:c r="F1240" s="19" t="n">
        <x:v>100231</x:v>
      </x:c>
    </x:row>
    <x:row r="1241">
      <x:c r="A1241" s="17" t="n">
        <x:v>44824</x:v>
      </x:c>
      <x:c r="B1241" s="18" t="n">
        <x:v>1675.9</x:v>
      </x:c>
      <x:c r="C1241" s="18" t="n">
        <x:v>1679.46</x:v>
      </x:c>
      <x:c r="D1241" s="18" t="n">
        <x:v>1660</x:v>
      </x:c>
      <x:c r="E1241" s="18" t="n">
        <x:v>1664.76</x:v>
      </x:c>
      <x:c r="F1241" s="19" t="n">
        <x:v>106315</x:v>
      </x:c>
    </x:row>
    <x:row r="1242">
      <x:c r="A1242" s="17" t="n">
        <x:v>44825</x:v>
      </x:c>
      <x:c r="B1242" s="18" t="n">
        <x:v>1664.75</x:v>
      </x:c>
      <x:c r="C1242" s="18" t="n">
        <x:v>1688.03</x:v>
      </x:c>
      <x:c r="D1242" s="18" t="n">
        <x:v>1653.93</x:v>
      </x:c>
      <x:c r="E1242" s="18" t="n">
        <x:v>1673.73</x:v>
      </x:c>
      <x:c r="F1242" s="19" t="n">
        <x:v>136446</x:v>
      </x:c>
    </x:row>
    <x:row r="1243">
      <x:c r="A1243" s="17" t="n">
        <x:v>44826</x:v>
      </x:c>
      <x:c r="B1243" s="18" t="n">
        <x:v>1671.24</x:v>
      </x:c>
      <x:c r="C1243" s="18" t="n">
        <x:v>1684.91</x:v>
      </x:c>
      <x:c r="D1243" s="18" t="n">
        <x:v>1655.67</x:v>
      </x:c>
      <x:c r="E1243" s="18" t="n">
        <x:v>1671.16</x:v>
      </x:c>
      <x:c r="F1243" s="19" t="n">
        <x:v>159295</x:v>
      </x:c>
    </x:row>
    <x:row r="1244">
      <x:c r="A1244" s="17" t="n">
        <x:v>44827</x:v>
      </x:c>
      <x:c r="B1244" s="18" t="n">
        <x:v>1671.46</x:v>
      </x:c>
      <x:c r="C1244" s="18" t="n">
        <x:v>1675.92</x:v>
      </x:c>
      <x:c r="D1244" s="18" t="n">
        <x:v>1639.75</x:v>
      </x:c>
      <x:c r="E1244" s="18" t="n">
        <x:v>1644.87</x:v>
      </x:c>
      <x:c r="F1244" s="19" t="n">
        <x:v>151910</x:v>
      </x:c>
    </x:row>
    <x:row r="1245">
      <x:c r="A1245" s="17" t="n">
        <x:v>44830</x:v>
      </x:c>
      <x:c r="B1245" s="18" t="n">
        <x:v>1643.9</x:v>
      </x:c>
      <x:c r="C1245" s="18" t="n">
        <x:v>1649.76</x:v>
      </x:c>
      <x:c r="D1245" s="18" t="n">
        <x:v>1621.17</x:v>
      </x:c>
      <x:c r="E1245" s="18" t="n">
        <x:v>1622.4</x:v>
      </x:c>
      <x:c r="F1245" s="19" t="n">
        <x:v>180760</x:v>
      </x:c>
    </x:row>
    <x:row r="1246">
      <x:c r="A1246" s="17" t="n">
        <x:v>44831</x:v>
      </x:c>
      <x:c r="B1246" s="18" t="n">
        <x:v>1623.44</x:v>
      </x:c>
      <x:c r="C1246" s="18" t="n">
        <x:v>1642.45</x:v>
      </x:c>
      <x:c r="D1246" s="18" t="n">
        <x:v>1623.44</x:v>
      </x:c>
      <x:c r="E1246" s="18" t="n">
        <x:v>1629.16</x:v>
      </x:c>
      <x:c r="F1246" s="19" t="n">
        <x:v>147580</x:v>
      </x:c>
    </x:row>
    <x:row r="1247">
      <x:c r="A1247" s="17" t="n">
        <x:v>44832</x:v>
      </x:c>
      <x:c r="B1247" s="18" t="n">
        <x:v>1629.88</x:v>
      </x:c>
      <x:c r="C1247" s="18" t="n">
        <x:v>1662.69</x:v>
      </x:c>
      <x:c r="D1247" s="18" t="n">
        <x:v>1614.81</x:v>
      </x:c>
      <x:c r="E1247" s="18" t="n">
        <x:v>1659.88</x:v>
      </x:c>
      <x:c r="F1247" s="19" t="n">
        <x:v>171207</x:v>
      </x:c>
    </x:row>
    <x:row r="1248">
      <x:c r="A1248" s="17" t="n">
        <x:v>44833</x:v>
      </x:c>
      <x:c r="B1248" s="18" t="n">
        <x:v>1659.72</x:v>
      </x:c>
      <x:c r="C1248" s="18" t="n">
        <x:v>1664.87</x:v>
      </x:c>
      <x:c r="D1248" s="18" t="n">
        <x:v>1641.53</x:v>
      </x:c>
      <x:c r="E1248" s="18" t="n">
        <x:v>1660.52</x:v>
      </x:c>
      <x:c r="F1248" s="19" t="n">
        <x:v>163679</x:v>
      </x:c>
    </x:row>
    <x:row r="1249">
      <x:c r="A1249" s="17" t="n">
        <x:v>44834</x:v>
      </x:c>
      <x:c r="B1249" s="18" t="n">
        <x:v>1660.92</x:v>
      </x:c>
      <x:c r="C1249" s="18" t="n">
        <x:v>1675.36</x:v>
      </x:c>
      <x:c r="D1249" s="18" t="n">
        <x:v>1659.24</x:v>
      </x:c>
      <x:c r="E1249" s="18" t="n">
        <x:v>1660.79</x:v>
      </x:c>
      <x:c r="F1249" s="19" t="n">
        <x:v>146801</x:v>
      </x:c>
    </x:row>
    <x:row r="1250">
      <x:c r="A1250" s="17" t="n">
        <x:v>44837</x:v>
      </x:c>
      <x:c r="B1250" s="18" t="n">
        <x:v>1663.22</x:v>
      </x:c>
      <x:c r="C1250" s="18" t="n">
        <x:v>1701.51</x:v>
      </x:c>
      <x:c r="D1250" s="18" t="n">
        <x:v>1659.72</x:v>
      </x:c>
      <x:c r="E1250" s="18" t="n">
        <x:v>1699.62</x:v>
      </x:c>
      <x:c r="F1250" s="19" t="n">
        <x:v>148353</x:v>
      </x:c>
    </x:row>
    <x:row r="1251">
      <x:c r="A1251" s="17" t="n">
        <x:v>44838</x:v>
      </x:c>
      <x:c r="B1251" s="18" t="n">
        <x:v>1698.7</x:v>
      </x:c>
      <x:c r="C1251" s="18" t="n">
        <x:v>1729.49</x:v>
      </x:c>
      <x:c r="D1251" s="18" t="n">
        <x:v>1695.24</x:v>
      </x:c>
      <x:c r="E1251" s="18" t="n">
        <x:v>1726.34</x:v>
      </x:c>
      <x:c r="F1251" s="19" t="n">
        <x:v>146016</x:v>
      </x:c>
    </x:row>
    <x:row r="1252">
      <x:c r="A1252" s="17" t="n">
        <x:v>44839</x:v>
      </x:c>
      <x:c r="B1252" s="18" t="n">
        <x:v>1724.98</x:v>
      </x:c>
      <x:c r="C1252" s="18" t="n">
        <x:v>1727.8</x:v>
      </x:c>
      <x:c r="D1252" s="18" t="n">
        <x:v>1700.54</x:v>
      </x:c>
      <x:c r="E1252" s="18" t="n">
        <x:v>1716.25</x:v>
      </x:c>
      <x:c r="F1252" s="19" t="n">
        <x:v>128807</x:v>
      </x:c>
    </x:row>
    <x:row r="1253">
      <x:c r="A1253" s="17" t="n">
        <x:v>44840</x:v>
      </x:c>
      <x:c r="B1253" s="18" t="n">
        <x:v>1716.16</x:v>
      </x:c>
      <x:c r="C1253" s="18" t="n">
        <x:v>1725.57</x:v>
      </x:c>
      <x:c r="D1253" s="18" t="n">
        <x:v>1706.96</x:v>
      </x:c>
      <x:c r="E1253" s="18" t="n">
        <x:v>1712.49</x:v>
      </x:c>
      <x:c r="F1253" s="19" t="n">
        <x:v>130355</x:v>
      </x:c>
    </x:row>
    <x:row r="1254">
      <x:c r="A1254" s="17" t="n">
        <x:v>44841</x:v>
      </x:c>
      <x:c r="B1254" s="18" t="n">
        <x:v>1711.79</x:v>
      </x:c>
      <x:c r="C1254" s="18" t="n">
        <x:v>1714.83</x:v>
      </x:c>
      <x:c r="D1254" s="18" t="n">
        <x:v>1690.65</x:v>
      </x:c>
      <x:c r="E1254" s="18" t="n">
        <x:v>1694.8</x:v>
      </x:c>
      <x:c r="F1254" s="19" t="n">
        <x:v>130306</x:v>
      </x:c>
    </x:row>
    <x:row r="1255">
      <x:c r="A1255" s="17" t="n">
        <x:v>44844</x:v>
      </x:c>
      <x:c r="B1255" s="18" t="n">
        <x:v>1696.55</x:v>
      </x:c>
      <x:c r="C1255" s="18" t="n">
        <x:v>1699.81</x:v>
      </x:c>
      <x:c r="D1255" s="18" t="n">
        <x:v>1665.71</x:v>
      </x:c>
      <x:c r="E1255" s="18" t="n">
        <x:v>1668.03</x:v>
      </x:c>
      <x:c r="F1255" s="19" t="n">
        <x:v>124012</x:v>
      </x:c>
    </x:row>
    <x:row r="1256">
      <x:c r="A1256" s="17" t="n">
        <x:v>44845</x:v>
      </x:c>
      <x:c r="B1256" s="18" t="n">
        <x:v>1668.12</x:v>
      </x:c>
      <x:c r="C1256" s="18" t="n">
        <x:v>1683.97</x:v>
      </x:c>
      <x:c r="D1256" s="18" t="n">
        <x:v>1661.01</x:v>
      </x:c>
      <x:c r="E1256" s="18" t="n">
        <x:v>1666.1</x:v>
      </x:c>
      <x:c r="F1256" s="19" t="n">
        <x:v>143042</x:v>
      </x:c>
    </x:row>
    <x:row r="1257">
      <x:c r="A1257" s="17" t="n">
        <x:v>44846</x:v>
      </x:c>
      <x:c r="B1257" s="18" t="n">
        <x:v>1666.28</x:v>
      </x:c>
      <x:c r="C1257" s="18" t="n">
        <x:v>1678.38</x:v>
      </x:c>
      <x:c r="D1257" s="18" t="n">
        <x:v>1661.38</x:v>
      </x:c>
      <x:c r="E1257" s="18" t="n">
        <x:v>1673.12</x:v>
      </x:c>
      <x:c r="F1257" s="19" t="n">
        <x:v>136154</x:v>
      </x:c>
    </x:row>
    <x:row r="1258">
      <x:c r="A1258" s="17" t="n">
        <x:v>44847</x:v>
      </x:c>
      <x:c r="B1258" s="18" t="n">
        <x:v>1674.08</x:v>
      </x:c>
      <x:c r="C1258" s="18" t="n">
        <x:v>1682.46</x:v>
      </x:c>
      <x:c r="D1258" s="18" t="n">
        <x:v>1642.46</x:v>
      </x:c>
      <x:c r="E1258" s="18" t="n">
        <x:v>1666.19</x:v>
      </x:c>
      <x:c r="F1258" s="19" t="n">
        <x:v>147839</x:v>
      </x:c>
    </x:row>
    <x:row r="1259">
      <x:c r="A1259" s="17" t="n">
        <x:v>44848</x:v>
      </x:c>
      <x:c r="B1259" s="18" t="n">
        <x:v>1666.16</x:v>
      </x:c>
      <x:c r="C1259" s="18" t="n">
        <x:v>1671.77</x:v>
      </x:c>
      <x:c r="D1259" s="18" t="n">
        <x:v>1640.19</x:v>
      </x:c>
      <x:c r="E1259" s="18" t="n">
        <x:v>1644.29</x:v>
      </x:c>
      <x:c r="F1259" s="19" t="n">
        <x:v>156093</x:v>
      </x:c>
    </x:row>
    <x:row r="1260">
      <x:c r="A1260" s="17" t="n">
        <x:v>44851</x:v>
      </x:c>
      <x:c r="B1260" s="18" t="n">
        <x:v>1645.84</x:v>
      </x:c>
      <x:c r="C1260" s="18" t="n">
        <x:v>1668.46</x:v>
      </x:c>
      <x:c r="D1260" s="18" t="n">
        <x:v>1644.06</x:v>
      </x:c>
      <x:c r="E1260" s="18" t="n">
        <x:v>1650.57</x:v>
      </x:c>
      <x:c r="F1260" s="19" t="n">
        <x:v>126840</x:v>
      </x:c>
    </x:row>
    <x:row r="1261">
      <x:c r="A1261" s="17" t="n">
        <x:v>44852</x:v>
      </x:c>
      <x:c r="B1261" s="18" t="n">
        <x:v>1650.47</x:v>
      </x:c>
      <x:c r="C1261" s="18" t="n">
        <x:v>1660.93</x:v>
      </x:c>
      <x:c r="D1261" s="18" t="n">
        <x:v>1645.83</x:v>
      </x:c>
      <x:c r="E1261" s="18" t="n">
        <x:v>1651.92</x:v>
      </x:c>
      <x:c r="F1261" s="19" t="n">
        <x:v>130558</x:v>
      </x:c>
    </x:row>
    <x:row r="1262">
      <x:c r="A1262" s="17" t="n">
        <x:v>44853</x:v>
      </x:c>
      <x:c r="B1262" s="18" t="n">
        <x:v>1651.91</x:v>
      </x:c>
      <x:c r="C1262" s="18" t="n">
        <x:v>1654.5</x:v>
      </x:c>
      <x:c r="D1262" s="18" t="n">
        <x:v>1627.68</x:v>
      </x:c>
      <x:c r="E1262" s="18" t="n">
        <x:v>1629.01</x:v>
      </x:c>
      <x:c r="F1262" s="19" t="n">
        <x:v>128397</x:v>
      </x:c>
    </x:row>
    <x:row r="1263">
      <x:c r="A1263" s="17" t="n">
        <x:v>44854</x:v>
      </x:c>
      <x:c r="B1263" s="18" t="n">
        <x:v>1629.24</x:v>
      </x:c>
      <x:c r="C1263" s="18" t="n">
        <x:v>1645.64</x:v>
      </x:c>
      <x:c r="D1263" s="18" t="n">
        <x:v>1622.43</x:v>
      </x:c>
      <x:c r="E1263" s="18" t="n">
        <x:v>1628.03</x:v>
      </x:c>
      <x:c r="F1263" s="19" t="n">
        <x:v>139743</x:v>
      </x:c>
    </x:row>
    <x:row r="1264">
      <x:c r="A1264" s="17" t="n">
        <x:v>44855</x:v>
      </x:c>
      <x:c r="B1264" s="18" t="n">
        <x:v>1628.31</x:v>
      </x:c>
      <x:c r="C1264" s="18" t="n">
        <x:v>1657.74</x:v>
      </x:c>
      <x:c r="D1264" s="18" t="n">
        <x:v>1617.29</x:v>
      </x:c>
      <x:c r="E1264" s="18" t="n">
        <x:v>1657.33</x:v>
      </x:c>
      <x:c r="F1264" s="19" t="n">
        <x:v>180660</x:v>
      </x:c>
    </x:row>
    <x:row r="1265">
      <x:c r="A1265" s="17" t="n">
        <x:v>44858</x:v>
      </x:c>
      <x:c r="B1265" s="18" t="n">
        <x:v>1659.8</x:v>
      </x:c>
      <x:c r="C1265" s="18" t="n">
        <x:v>1670.53</x:v>
      </x:c>
      <x:c r="D1265" s="18" t="n">
        <x:v>1644.01</x:v>
      </x:c>
      <x:c r="E1265" s="18" t="n">
        <x:v>1649.36</x:v>
      </x:c>
      <x:c r="F1265" s="19" t="n">
        <x:v>167918</x:v>
      </x:c>
    </x:row>
    <x:row r="1266">
      <x:c r="A1266" s="17" t="n">
        <x:v>44859</x:v>
      </x:c>
      <x:c r="B1266" s="18" t="n">
        <x:v>1649.8</x:v>
      </x:c>
      <x:c r="C1266" s="18" t="n">
        <x:v>1662.43</x:v>
      </x:c>
      <x:c r="D1266" s="18" t="n">
        <x:v>1638.2</x:v>
      </x:c>
      <x:c r="E1266" s="18" t="n">
        <x:v>1653.08</x:v>
      </x:c>
      <x:c r="F1266" s="19" t="n">
        <x:v>140896</x:v>
      </x:c>
    </x:row>
    <x:row r="1267">
      <x:c r="A1267" s="17" t="n">
        <x:v>44860</x:v>
      </x:c>
      <x:c r="B1267" s="18" t="n">
        <x:v>1652.18</x:v>
      </x:c>
      <x:c r="C1267" s="18" t="n">
        <x:v>1674.93</x:v>
      </x:c>
      <x:c r="D1267" s="18" t="n">
        <x:v>1649.68</x:v>
      </x:c>
      <x:c r="E1267" s="18" t="n">
        <x:v>1664.62</x:v>
      </x:c>
      <x:c r="F1267" s="19" t="n">
        <x:v>144998</x:v>
      </x:c>
    </x:row>
    <x:row r="1268">
      <x:c r="A1268" s="17" t="n">
        <x:v>44861</x:v>
      </x:c>
      <x:c r="B1268" s="18" t="n">
        <x:v>1664.32</x:v>
      </x:c>
      <x:c r="C1268" s="18" t="n">
        <x:v>1670.83</x:v>
      </x:c>
      <x:c r="D1268" s="18" t="n">
        <x:v>1654.88</x:v>
      </x:c>
      <x:c r="E1268" s="18" t="n">
        <x:v>1663.26</x:v>
      </x:c>
      <x:c r="F1268" s="19" t="n">
        <x:v>160258</x:v>
      </x:c>
    </x:row>
    <x:row r="1269">
      <x:c r="A1269" s="17" t="n">
        <x:v>44862</x:v>
      </x:c>
      <x:c r="B1269" s="18" t="n">
        <x:v>1662.6</x:v>
      </x:c>
      <x:c r="C1269" s="18" t="n">
        <x:v>1667.04</x:v>
      </x:c>
      <x:c r="D1269" s="18" t="n">
        <x:v>1638.05</x:v>
      </x:c>
      <x:c r="E1269" s="18" t="n">
        <x:v>1644.6</x:v>
      </x:c>
      <x:c r="F1269" s="19" t="n">
        <x:v>151188</x:v>
      </x:c>
    </x:row>
    <x:row r="1270">
      <x:c r="A1270" s="17" t="n">
        <x:v>44865</x:v>
      </x:c>
      <x:c r="B1270" s="18" t="n">
        <x:v>1642.98</x:v>
      </x:c>
      <x:c r="C1270" s="18" t="n">
        <x:v>1645.65</x:v>
      </x:c>
      <x:c r="D1270" s="18" t="n">
        <x:v>1631.8</x:v>
      </x:c>
      <x:c r="E1270" s="18" t="n">
        <x:v>1633.56</x:v>
      </x:c>
      <x:c r="F1270" s="19" t="n">
        <x:v>117975</x:v>
      </x:c>
    </x:row>
    <x:row r="1271">
      <x:c r="A1271" s="17" t="n">
        <x:v>44866</x:v>
      </x:c>
      <x:c r="B1271" s="18" t="n">
        <x:v>1632.86</x:v>
      </x:c>
      <x:c r="C1271" s="18" t="n">
        <x:v>1657.04</x:v>
      </x:c>
      <x:c r="D1271" s="18" t="n">
        <x:v>1630.65</x:v>
      </x:c>
      <x:c r="E1271" s="18" t="n">
        <x:v>1647.66</x:v>
      </x:c>
      <x:c r="F1271" s="19" t="n">
        <x:v>143204</x:v>
      </x:c>
    </x:row>
    <x:row r="1272">
      <x:c r="A1272" s="17" t="n">
        <x:v>44867</x:v>
      </x:c>
      <x:c r="B1272" s="18" t="n">
        <x:v>1647.18</x:v>
      </x:c>
      <x:c r="C1272" s="18" t="n">
        <x:v>1669.33</x:v>
      </x:c>
      <x:c r="D1272" s="18" t="n">
        <x:v>1634.74</x:v>
      </x:c>
      <x:c r="E1272" s="18" t="n">
        <x:v>1635.07</x:v>
      </x:c>
      <x:c r="F1272" s="19" t="n">
        <x:v>139978</x:v>
      </x:c>
    </x:row>
    <x:row r="1273">
      <x:c r="A1273" s="17" t="n">
        <x:v>44868</x:v>
      </x:c>
      <x:c r="B1273" s="18" t="n">
        <x:v>1634.5</x:v>
      </x:c>
      <x:c r="C1273" s="18" t="n">
        <x:v>1641</x:v>
      </x:c>
      <x:c r="D1273" s="18" t="n">
        <x:v>1616.72</x:v>
      </x:c>
      <x:c r="E1273" s="18" t="n">
        <x:v>1629.55</x:v>
      </x:c>
      <x:c r="F1273" s="19" t="n">
        <x:v>148549</x:v>
      </x:c>
    </x:row>
    <x:row r="1274">
      <x:c r="A1274" s="17" t="n">
        <x:v>44869</x:v>
      </x:c>
      <x:c r="B1274" s="18" t="n">
        <x:v>1628.93</x:v>
      </x:c>
      <x:c r="C1274" s="18" t="n">
        <x:v>1681.72</x:v>
      </x:c>
      <x:c r="D1274" s="18" t="n">
        <x:v>1628.77</x:v>
      </x:c>
      <x:c r="E1274" s="18" t="n">
        <x:v>1680.79</x:v>
      </x:c>
      <x:c r="F1274" s="19" t="n">
        <x:v>163559</x:v>
      </x:c>
    </x:row>
    <x:row r="1275">
      <x:c r="A1275" s="17" t="n">
        <x:v>44872</x:v>
      </x:c>
      <x:c r="B1275" s="18" t="n">
        <x:v>1674.4</x:v>
      </x:c>
      <x:c r="C1275" s="18" t="n">
        <x:v>1681.9</x:v>
      </x:c>
      <x:c r="D1275" s="18" t="n">
        <x:v>1666.9</x:v>
      </x:c>
      <x:c r="E1275" s="18" t="n">
        <x:v>1675.31</x:v>
      </x:c>
      <x:c r="F1275" s="19" t="n">
        <x:v>144667</x:v>
      </x:c>
    </x:row>
    <x:row r="1276">
      <x:c r="A1276" s="17" t="n">
        <x:v>44873</x:v>
      </x:c>
      <x:c r="B1276" s="18" t="n">
        <x:v>1674.9</x:v>
      </x:c>
      <x:c r="C1276" s="18" t="n">
        <x:v>1716.88</x:v>
      </x:c>
      <x:c r="D1276" s="18" t="n">
        <x:v>1664.71</x:v>
      </x:c>
      <x:c r="E1276" s="18" t="n">
        <x:v>1712.33</x:v>
      </x:c>
      <x:c r="F1276" s="19" t="n">
        <x:v>132204</x:v>
      </x:c>
    </x:row>
    <x:row r="1277">
      <x:c r="A1277" s="17" t="n">
        <x:v>44874</x:v>
      </x:c>
      <x:c r="B1277" s="18" t="n">
        <x:v>1712.23</x:v>
      </x:c>
      <x:c r="C1277" s="18" t="n">
        <x:v>1722.37</x:v>
      </x:c>
      <x:c r="D1277" s="18" t="n">
        <x:v>1702.2</x:v>
      </x:c>
      <x:c r="E1277" s="18" t="n">
        <x:v>1706.92</x:v>
      </x:c>
      <x:c r="F1277" s="19" t="n">
        <x:v>138346</x:v>
      </x:c>
    </x:row>
    <x:row r="1278">
      <x:c r="A1278" s="17" t="n">
        <x:v>44875</x:v>
      </x:c>
      <x:c r="B1278" s="18" t="n">
        <x:v>1706.22</x:v>
      </x:c>
      <x:c r="C1278" s="18" t="n">
        <x:v>1757.19</x:v>
      </x:c>
      <x:c r="D1278" s="18" t="n">
        <x:v>1703.71</x:v>
      </x:c>
      <x:c r="E1278" s="18" t="n">
        <x:v>1755.48</x:v>
      </x:c>
      <x:c r="F1278" s="19" t="n">
        <x:v>152130</x:v>
      </x:c>
    </x:row>
    <x:row r="1279">
      <x:c r="A1279" s="17" t="n">
        <x:v>44876</x:v>
      </x:c>
      <x:c r="B1279" s="18" t="n">
        <x:v>1753.59</x:v>
      </x:c>
      <x:c r="C1279" s="18" t="n">
        <x:v>1772.78</x:v>
      </x:c>
      <x:c r="D1279" s="18" t="n">
        <x:v>1747.3</x:v>
      </x:c>
      <x:c r="E1279" s="18" t="n">
        <x:v>1770.15</x:v>
      </x:c>
      <x:c r="F1279" s="19" t="n">
        <x:v>145499</x:v>
      </x:c>
    </x:row>
    <x:row r="1280">
      <x:c r="A1280" s="17" t="n">
        <x:v>44879</x:v>
      </x:c>
      <x:c r="B1280" s="18" t="n">
        <x:v>1763.34</x:v>
      </x:c>
      <x:c r="C1280" s="18" t="n">
        <x:v>1775.09</x:v>
      </x:c>
      <x:c r="D1280" s="18" t="n">
        <x:v>1753.3</x:v>
      </x:c>
      <x:c r="E1280" s="18" t="n">
        <x:v>1771.09</x:v>
      </x:c>
      <x:c r="F1280" s="19" t="n">
        <x:v>142735</x:v>
      </x:c>
    </x:row>
    <x:row r="1281">
      <x:c r="A1281" s="17" t="n">
        <x:v>44880</x:v>
      </x:c>
      <x:c r="B1281" s="18" t="n">
        <x:v>1770.64</x:v>
      </x:c>
      <x:c r="C1281" s="18" t="n">
        <x:v>1786.57</x:v>
      </x:c>
      <x:c r="D1281" s="18" t="n">
        <x:v>1767.13</x:v>
      </x:c>
      <x:c r="E1281" s="18" t="n">
        <x:v>1778.72</x:v>
      </x:c>
      <x:c r="F1281" s="19" t="n">
        <x:v>208619</x:v>
      </x:c>
    </x:row>
    <x:row r="1282">
      <x:c r="A1282" s="17" t="n">
        <x:v>44881</x:v>
      </x:c>
      <x:c r="B1282" s="18" t="n">
        <x:v>1777.75</x:v>
      </x:c>
      <x:c r="C1282" s="18" t="n">
        <x:v>1785.06</x:v>
      </x:c>
      <x:c r="D1282" s="18" t="n">
        <x:v>1770.35</x:v>
      </x:c>
      <x:c r="E1282" s="18" t="n">
        <x:v>1773.79</x:v>
      </x:c>
      <x:c r="F1282" s="19" t="n">
        <x:v>174707</x:v>
      </x:c>
    </x:row>
    <x:row r="1283">
      <x:c r="A1283" s="17" t="n">
        <x:v>44882</x:v>
      </x:c>
      <x:c r="B1283" s="18" t="n">
        <x:v>1773.67</x:v>
      </x:c>
      <x:c r="C1283" s="18" t="n">
        <x:v>1774.88</x:v>
      </x:c>
      <x:c r="D1283" s="18" t="n">
        <x:v>1754.51</x:v>
      </x:c>
      <x:c r="E1283" s="18" t="n">
        <x:v>1760.17</x:v>
      </x:c>
      <x:c r="F1283" s="19" t="n">
        <x:v>147971</x:v>
      </x:c>
    </x:row>
    <x:row r="1284">
      <x:c r="A1284" s="17" t="n">
        <x:v>44883</x:v>
      </x:c>
      <x:c r="B1284" s="18" t="n">
        <x:v>1760.52</x:v>
      </x:c>
      <x:c r="C1284" s="18" t="n">
        <x:v>1767.72</x:v>
      </x:c>
      <x:c r="D1284" s="18" t="n">
        <x:v>1747.55</x:v>
      </x:c>
      <x:c r="E1284" s="18" t="n">
        <x:v>1750.97</x:v>
      </x:c>
      <x:c r="F1284" s="19" t="n">
        <x:v>129204</x:v>
      </x:c>
    </x:row>
    <x:row r="1285">
      <x:c r="A1285" s="17" t="n">
        <x:v>44886</x:v>
      </x:c>
      <x:c r="B1285" s="18" t="n">
        <x:v>1751.15</x:v>
      </x:c>
      <x:c r="C1285" s="18" t="n">
        <x:v>1752.95</x:v>
      </x:c>
      <x:c r="D1285" s="18" t="n">
        <x:v>1732.54</x:v>
      </x:c>
      <x:c r="E1285" s="18" t="n">
        <x:v>1737.75</x:v>
      </x:c>
      <x:c r="F1285" s="19" t="n">
        <x:v>143361</x:v>
      </x:c>
    </x:row>
    <x:row r="1286">
      <x:c r="A1286" s="17" t="n">
        <x:v>44887</x:v>
      </x:c>
      <x:c r="B1286" s="18" t="n">
        <x:v>1738.85</x:v>
      </x:c>
      <x:c r="C1286" s="18" t="n">
        <x:v>1749.74</x:v>
      </x:c>
      <x:c r="D1286" s="18" t="n">
        <x:v>1737.08</x:v>
      </x:c>
      <x:c r="E1286" s="18" t="n">
        <x:v>1739.97</x:v>
      </x:c>
      <x:c r="F1286" s="19" t="n">
        <x:v>128252</x:v>
      </x:c>
    </x:row>
    <x:row r="1287">
      <x:c r="A1287" s="17" t="n">
        <x:v>44888</x:v>
      </x:c>
      <x:c r="B1287" s="18" t="n">
        <x:v>1739.97</x:v>
      </x:c>
      <x:c r="C1287" s="18" t="n">
        <x:v>1753.39</x:v>
      </x:c>
      <x:c r="D1287" s="18" t="n">
        <x:v>1727.31</x:v>
      </x:c>
      <x:c r="E1287" s="18" t="n">
        <x:v>1749.4</x:v>
      </x:c>
      <x:c r="F1287" s="19" t="n">
        <x:v>140515</x:v>
      </x:c>
    </x:row>
    <x:row r="1288">
      <x:c r="A1288" s="17" t="n">
        <x:v>44889</x:v>
      </x:c>
      <x:c r="B1288" s="18" t="n">
        <x:v>1749.69</x:v>
      </x:c>
      <x:c r="C1288" s="18" t="n">
        <x:v>1758.61</x:v>
      </x:c>
      <x:c r="D1288" s="18" t="n">
        <x:v>1748.67</x:v>
      </x:c>
      <x:c r="E1288" s="18" t="n">
        <x:v>1755.38</x:v>
      </x:c>
      <x:c r="F1288" s="19" t="n">
        <x:v>87098</x:v>
      </x:c>
    </x:row>
    <x:row r="1289">
      <x:c r="A1289" s="17" t="n">
        <x:v>44890</x:v>
      </x:c>
      <x:c r="B1289" s="18" t="n">
        <x:v>1754.86</x:v>
      </x:c>
      <x:c r="C1289" s="18" t="n">
        <x:v>1761.24</x:v>
      </x:c>
      <x:c r="D1289" s="18" t="n">
        <x:v>1746.05</x:v>
      </x:c>
      <x:c r="E1289" s="18" t="n">
        <x:v>1754.65</x:v>
      </x:c>
      <x:c r="F1289" s="19" t="n">
        <x:v>103484</x:v>
      </x:c>
    </x:row>
    <x:row r="1290">
      <x:c r="A1290" s="17" t="n">
        <x:v>44893</x:v>
      </x:c>
      <x:c r="B1290" s="18" t="n">
        <x:v>1754.28</x:v>
      </x:c>
      <x:c r="C1290" s="18" t="n">
        <x:v>1763.76</x:v>
      </x:c>
      <x:c r="D1290" s="18" t="n">
        <x:v>1739.63</x:v>
      </x:c>
      <x:c r="E1290" s="18" t="n">
        <x:v>1741.5</x:v>
      </x:c>
      <x:c r="F1290" s="19" t="n">
        <x:v>128876</x:v>
      </x:c>
    </x:row>
    <x:row r="1291">
      <x:c r="A1291" s="17" t="n">
        <x:v>44894</x:v>
      </x:c>
      <x:c r="B1291" s="18" t="n">
        <x:v>1740.06</x:v>
      </x:c>
      <x:c r="C1291" s="18" t="n">
        <x:v>1759.05</x:v>
      </x:c>
      <x:c r="D1291" s="18" t="n">
        <x:v>1740.06</x:v>
      </x:c>
      <x:c r="E1291" s="18" t="n">
        <x:v>1749.67</x:v>
      </x:c>
      <x:c r="F1291" s="19" t="n">
        <x:v>150295</x:v>
      </x:c>
    </x:row>
    <x:row r="1292">
      <x:c r="A1292" s="17" t="n">
        <x:v>44895</x:v>
      </x:c>
      <x:c r="B1292" s="18" t="n">
        <x:v>1749.36</x:v>
      </x:c>
      <x:c r="C1292" s="18" t="n">
        <x:v>1769.99</x:v>
      </x:c>
      <x:c r="D1292" s="18" t="n">
        <x:v>1744.91</x:v>
      </x:c>
      <x:c r="E1292" s="18" t="n">
        <x:v>1768.39</x:v>
      </x:c>
      <x:c r="F1292" s="19" t="n">
        <x:v>173585</x:v>
      </x:c>
    </x:row>
    <x:row r="1293">
      <x:c r="A1293" s="17" t="n">
        <x:v>44896</x:v>
      </x:c>
      <x:c r="B1293" s="18" t="n">
        <x:v>1769.08</x:v>
      </x:c>
      <x:c r="C1293" s="18" t="n">
        <x:v>1804.12</x:v>
      </x:c>
      <x:c r="D1293" s="18" t="n">
        <x:v>1768.56</x:v>
      </x:c>
      <x:c r="E1293" s="18" t="n">
        <x:v>1802.86</x:v>
      </x:c>
      <x:c r="F1293" s="19" t="n">
        <x:v>187527</x:v>
      </x:c>
    </x:row>
    <x:row r="1294">
      <x:c r="A1294" s="17" t="n">
        <x:v>44897</x:v>
      </x:c>
      <x:c r="B1294" s="18" t="n">
        <x:v>1802.12</x:v>
      </x:c>
      <x:c r="C1294" s="18" t="n">
        <x:v>1804.52</x:v>
      </x:c>
      <x:c r="D1294" s="18" t="n">
        <x:v>1778.49</x:v>
      </x:c>
      <x:c r="E1294" s="18" t="n">
        <x:v>1797.98</x:v>
      </x:c>
      <x:c r="F1294" s="19" t="n">
        <x:v>163926</x:v>
      </x:c>
    </x:row>
    <x:row r="1295">
      <x:c r="A1295" s="17" t="n">
        <x:v>44900</x:v>
      </x:c>
      <x:c r="B1295" s="18" t="n">
        <x:v>1795.99</x:v>
      </x:c>
      <x:c r="C1295" s="18" t="n">
        <x:v>1810.01</x:v>
      </x:c>
      <x:c r="D1295" s="18" t="n">
        <x:v>1765.85</x:v>
      </x:c>
      <x:c r="E1295" s="18" t="n">
        <x:v>1768.65</x:v>
      </x:c>
      <x:c r="F1295" s="19" t="n">
        <x:v>155784</x:v>
      </x:c>
    </x:row>
    <x:row r="1296">
      <x:c r="A1296" s="17" t="n">
        <x:v>44901</x:v>
      </x:c>
      <x:c r="B1296" s="18" t="n">
        <x:v>1768.18</x:v>
      </x:c>
      <x:c r="C1296" s="18" t="n">
        <x:v>1780.86</x:v>
      </x:c>
      <x:c r="D1296" s="18" t="n">
        <x:v>1767.27</x:v>
      </x:c>
      <x:c r="E1296" s="18" t="n">
        <x:v>1770.99</x:v>
      </x:c>
      <x:c r="F1296" s="19" t="n">
        <x:v>140393</x:v>
      </x:c>
    </x:row>
    <x:row r="1297">
      <x:c r="A1297" s="17" t="n">
        <x:v>44902</x:v>
      </x:c>
      <x:c r="B1297" s="18" t="n">
        <x:v>1770.95</x:v>
      </x:c>
      <x:c r="C1297" s="18" t="n">
        <x:v>1790.52</x:v>
      </x:c>
      <x:c r="D1297" s="18" t="n">
        <x:v>1768.74</x:v>
      </x:c>
      <x:c r="E1297" s="18" t="n">
        <x:v>1785.98</x:v>
      </x:c>
      <x:c r="F1297" s="19" t="n">
        <x:v>150509</x:v>
      </x:c>
    </x:row>
    <x:row r="1298">
      <x:c r="A1298" s="17" t="n">
        <x:v>44903</x:v>
      </x:c>
      <x:c r="B1298" s="18" t="n">
        <x:v>1785.83</x:v>
      </x:c>
      <x:c r="C1298" s="18" t="n">
        <x:v>1794.83</x:v>
      </x:c>
      <x:c r="D1298" s="18" t="n">
        <x:v>1781.45</x:v>
      </x:c>
      <x:c r="E1298" s="18" t="n">
        <x:v>1788.98</x:v>
      </x:c>
      <x:c r="F1298" s="19" t="n">
        <x:v>127854</x:v>
      </x:c>
    </x:row>
    <x:row r="1299">
      <x:c r="A1299" s="17" t="n">
        <x:v>44904</x:v>
      </x:c>
      <x:c r="B1299" s="18" t="n">
        <x:v>1789.67</x:v>
      </x:c>
      <x:c r="C1299" s="18" t="n">
        <x:v>1806.14</x:v>
      </x:c>
      <x:c r="D1299" s="18" t="n">
        <x:v>1788.44</x:v>
      </x:c>
      <x:c r="E1299" s="18" t="n">
        <x:v>1797.46</x:v>
      </x:c>
      <x:c r="F1299" s="19" t="n">
        <x:v>130802</x:v>
      </x:c>
    </x:row>
    <x:row r="1300">
      <x:c r="A1300" s="17" t="n">
        <x:v>44907</x:v>
      </x:c>
      <x:c r="B1300" s="18" t="n">
        <x:v>1796.94</x:v>
      </x:c>
      <x:c r="C1300" s="18" t="n">
        <x:v>1796.94</x:v>
      </x:c>
      <x:c r="D1300" s="18" t="n">
        <x:v>1777.63</x:v>
      </x:c>
      <x:c r="E1300" s="18" t="n">
        <x:v>1781.27</x:v>
      </x:c>
      <x:c r="F1300" s="19" t="n">
        <x:v>117482</x:v>
      </x:c>
    </x:row>
    <x:row r="1301">
      <x:c r="A1301" s="17" t="n">
        <x:v>44908</x:v>
      </x:c>
      <x:c r="B1301" s="18" t="n">
        <x:v>1781.28</x:v>
      </x:c>
      <x:c r="C1301" s="18" t="n">
        <x:v>1824.52</x:v>
      </x:c>
      <x:c r="D1301" s="18" t="n">
        <x:v>1780.86</x:v>
      </x:c>
      <x:c r="E1301" s="18" t="n">
        <x:v>1810.51</x:v>
      </x:c>
      <x:c r="F1301" s="19" t="n">
        <x:v>165436</x:v>
      </x:c>
    </x:row>
    <x:row r="1302">
      <x:c r="A1302" s="17" t="n">
        <x:v>44909</x:v>
      </x:c>
      <x:c r="B1302" s="18" t="n">
        <x:v>1810.66</x:v>
      </x:c>
      <x:c r="C1302" s="18" t="n">
        <x:v>1814.22</x:v>
      </x:c>
      <x:c r="D1302" s="18" t="n">
        <x:v>1795.64</x:v>
      </x:c>
      <x:c r="E1302" s="18" t="n">
        <x:v>1807.2</x:v>
      </x:c>
      <x:c r="F1302" s="19" t="n">
        <x:v>167756</x:v>
      </x:c>
    </x:row>
    <x:row r="1303">
      <x:c r="A1303" s="17" t="n">
        <x:v>44910</x:v>
      </x:c>
      <x:c r="B1303" s="18" t="n">
        <x:v>1807.07</x:v>
      </x:c>
      <x:c r="C1303" s="18" t="n">
        <x:v>1808.6</x:v>
      </x:c>
      <x:c r="D1303" s="18" t="n">
        <x:v>1773.75</x:v>
      </x:c>
      <x:c r="E1303" s="18" t="n">
        <x:v>1776.8</x:v>
      </x:c>
      <x:c r="F1303" s="19" t="n">
        <x:v>172988</x:v>
      </x:c>
    </x:row>
    <x:row r="1304">
      <x:c r="A1304" s="17" t="n">
        <x:v>44911</x:v>
      </x:c>
      <x:c r="B1304" s="18" t="n">
        <x:v>1776.64</x:v>
      </x:c>
      <x:c r="C1304" s="18" t="n">
        <x:v>1794.27</x:v>
      </x:c>
      <x:c r="D1304" s="18" t="n">
        <x:v>1774.25</x:v>
      </x:c>
      <x:c r="E1304" s="18" t="n">
        <x:v>1793.1</x:v>
      </x:c>
      <x:c r="F1304" s="19" t="n">
        <x:v>144965</x:v>
      </x:c>
    </x:row>
    <x:row r="1305">
      <x:c r="A1305" s="17" t="n">
        <x:v>44914</x:v>
      </x:c>
      <x:c r="B1305" s="18" t="n">
        <x:v>1792.62</x:v>
      </x:c>
      <x:c r="C1305" s="18" t="n">
        <x:v>1798.73</x:v>
      </x:c>
      <x:c r="D1305" s="18" t="n">
        <x:v>1783.79</x:v>
      </x:c>
      <x:c r="E1305" s="18" t="n">
        <x:v>1787.65</x:v>
      </x:c>
      <x:c r="F1305" s="19" t="n">
        <x:v>125480</x:v>
      </x:c>
    </x:row>
    <x:row r="1306">
      <x:c r="A1306" s="17" t="n">
        <x:v>44915</x:v>
      </x:c>
      <x:c r="B1306" s="18" t="n">
        <x:v>1787.5</x:v>
      </x:c>
      <x:c r="C1306" s="18" t="n">
        <x:v>1821.12</x:v>
      </x:c>
      <x:c r="D1306" s="18" t="n">
        <x:v>1784.61</x:v>
      </x:c>
      <x:c r="E1306" s="18" t="n">
        <x:v>1817.67</x:v>
      </x:c>
      <x:c r="F1306" s="19" t="n">
        <x:v>186978</x:v>
      </x:c>
    </x:row>
    <x:row r="1307">
      <x:c r="A1307" s="17" t="n">
        <x:v>44916</x:v>
      </x:c>
      <x:c r="B1307" s="18" t="n">
        <x:v>1817.81</x:v>
      </x:c>
      <x:c r="C1307" s="18" t="n">
        <x:v>1823.84</x:v>
      </x:c>
      <x:c r="D1307" s="18" t="n">
        <x:v>1811.85</x:v>
      </x:c>
      <x:c r="E1307" s="18" t="n">
        <x:v>1814.15</x:v>
      </x:c>
      <x:c r="F1307" s="19" t="n">
        <x:v>131501</x:v>
      </x:c>
    </x:row>
    <x:row r="1308">
      <x:c r="A1308" s="17" t="n">
        <x:v>44917</x:v>
      </x:c>
      <x:c r="B1308" s="18" t="n">
        <x:v>1813.92</x:v>
      </x:c>
      <x:c r="C1308" s="18" t="n">
        <x:v>1820.43</x:v>
      </x:c>
      <x:c r="D1308" s="18" t="n">
        <x:v>1784.67</x:v>
      </x:c>
      <x:c r="E1308" s="18" t="n">
        <x:v>1792.4</x:v>
      </x:c>
      <x:c r="F1308" s="19" t="n">
        <x:v>135463</x:v>
      </x:c>
    </x:row>
    <x:row r="1309">
      <x:c r="A1309" s="17" t="n">
        <x:v>44918</x:v>
      </x:c>
      <x:c r="B1309" s="18" t="n">
        <x:v>1793.44</x:v>
      </x:c>
      <x:c r="C1309" s="18" t="n">
        <x:v>1803.22</x:v>
      </x:c>
      <x:c r="D1309" s="18" t="n">
        <x:v>1791.18</x:v>
      </x:c>
      <x:c r="E1309" s="18" t="n">
        <x:v>1798.51</x:v>
      </x:c>
      <x:c r="F1309" s="19" t="n">
        <x:v>107520</x:v>
      </x:c>
    </x:row>
    <x:row r="1310">
      <x:c r="A1310" s="17" t="n">
        <x:v>44922</x:v>
      </x:c>
      <x:c r="B1310" s="18" t="n">
        <x:v>1800.08</x:v>
      </x:c>
      <x:c r="C1310" s="18" t="n">
        <x:v>1833.63</x:v>
      </x:c>
      <x:c r="D1310" s="18" t="n">
        <x:v>1799.76</x:v>
      </x:c>
      <x:c r="E1310" s="18" t="n">
        <x:v>1813.47</x:v>
      </x:c>
      <x:c r="F1310" s="19" t="n">
        <x:v>106424</x:v>
      </x:c>
    </x:row>
    <x:row r="1311">
      <x:c r="A1311" s="17" t="n">
        <x:v>44923</x:v>
      </x:c>
      <x:c r="B1311" s="18" t="n">
        <x:v>1814.12</x:v>
      </x:c>
      <x:c r="C1311" s="18" t="n">
        <x:v>1814.62</x:v>
      </x:c>
      <x:c r="D1311" s="18" t="n">
        <x:v>1797.04</x:v>
      </x:c>
      <x:c r="E1311" s="18" t="n">
        <x:v>1804.21</x:v>
      </x:c>
      <x:c r="F1311" s="19" t="n">
        <x:v>102536</x:v>
      </x:c>
    </x:row>
    <x:row r="1312">
      <x:c r="A1312" s="17" t="n">
        <x:v>44924</x:v>
      </x:c>
      <x:c r="B1312" s="18" t="n">
        <x:v>1804.29</x:v>
      </x:c>
      <x:c r="C1312" s="18" t="n">
        <x:v>1820.24</x:v>
      </x:c>
      <x:c r="D1312" s="18" t="n">
        <x:v>1803.78</x:v>
      </x:c>
      <x:c r="E1312" s="18" t="n">
        <x:v>1814.79</x:v>
      </x:c>
      <x:c r="F1312" s="19" t="n">
        <x:v>100128</x:v>
      </x:c>
    </x:row>
    <x:row r="1313">
      <x:c r="A1313" s="17" t="n">
        <x:v>44925</x:v>
      </x:c>
      <x:c r="B1313" s="18" t="n">
        <x:v>1814.66</x:v>
      </x:c>
      <x:c r="C1313" s="18" t="n">
        <x:v>1826.04</x:v>
      </x:c>
      <x:c r="D1313" s="18" t="n">
        <x:v>1813.39</x:v>
      </x:c>
      <x:c r="E1313" s="18" t="n">
        <x:v>1824.2</x:v>
      </x:c>
      <x:c r="F1313" s="19" t="n">
        <x:v>109366</x:v>
      </x:c>
    </x:row>
    <x:row r="1314">
      <x:c r="A1314" s="17" t="n">
        <x:v>44929</x:v>
      </x:c>
      <x:c r="B1314" s="18" t="n">
        <x:v>1826.57</x:v>
      </x:c>
      <x:c r="C1314" s="18" t="n">
        <x:v>1849.99</x:v>
      </x:c>
      <x:c r="D1314" s="18" t="n">
        <x:v>1823.52</x:v>
      </x:c>
      <x:c r="E1314" s="18" t="n">
        <x:v>1839.47</x:v>
      </x:c>
      <x:c r="F1314" s="19" t="n">
        <x:v>153530</x:v>
      </x:c>
    </x:row>
    <x:row r="1315">
      <x:c r="A1315" s="17" t="n">
        <x:v>44930</x:v>
      </x:c>
      <x:c r="B1315" s="18" t="n">
        <x:v>1838.76</x:v>
      </x:c>
      <x:c r="C1315" s="18" t="n">
        <x:v>1865.12</x:v>
      </x:c>
      <x:c r="D1315" s="18" t="n">
        <x:v>1836.18</x:v>
      </x:c>
      <x:c r="E1315" s="18" t="n">
        <x:v>1854.68</x:v>
      </x:c>
      <x:c r="F1315" s="19" t="n">
        <x:v>159325</x:v>
      </x:c>
    </x:row>
    <x:row r="1316">
      <x:c r="A1316" s="17" t="n">
        <x:v>44931</x:v>
      </x:c>
      <x:c r="B1316" s="18" t="n">
        <x:v>1854.48</x:v>
      </x:c>
      <x:c r="C1316" s="18" t="n">
        <x:v>1859.03</x:v>
      </x:c>
      <x:c r="D1316" s="18" t="n">
        <x:v>1825.11</x:v>
      </x:c>
      <x:c r="E1316" s="18" t="n">
        <x:v>1832.92</x:v>
      </x:c>
      <x:c r="F1316" s="19" t="n">
        <x:v>142899</x:v>
      </x:c>
    </x:row>
    <x:row r="1317">
      <x:c r="A1317" s="17" t="n">
        <x:v>44932</x:v>
      </x:c>
      <x:c r="B1317" s="18" t="n">
        <x:v>1832.3</x:v>
      </x:c>
      <x:c r="C1317" s="18" t="n">
        <x:v>1869.87</x:v>
      </x:c>
      <x:c r="D1317" s="18" t="n">
        <x:v>1831.31</x:v>
      </x:c>
      <x:c r="E1317" s="18" t="n">
        <x:v>1866.03</x:v>
      </x:c>
      <x:c r="F1317" s="19" t="n">
        <x:v>134449</x:v>
      </x:c>
    </x:row>
    <x:row r="1318">
      <x:c r="A1318" s="17" t="n">
        <x:v>44935</x:v>
      </x:c>
      <x:c r="B1318" s="18" t="n">
        <x:v>1867.72</x:v>
      </x:c>
      <x:c r="C1318" s="18" t="n">
        <x:v>1881.58</x:v>
      </x:c>
      <x:c r="D1318" s="18" t="n">
        <x:v>1866.44</x:v>
      </x:c>
      <x:c r="E1318" s="18" t="n">
        <x:v>1871.67</x:v>
      </x:c>
      <x:c r="F1318" s="19" t="n">
        <x:v>134341</x:v>
      </x:c>
    </x:row>
    <x:row r="1319">
      <x:c r="A1319" s="17" t="n">
        <x:v>44936</x:v>
      </x:c>
      <x:c r="B1319" s="18" t="n">
        <x:v>1870.99</x:v>
      </x:c>
      <x:c r="C1319" s="18" t="n">
        <x:v>1880.77</x:v>
      </x:c>
      <x:c r="D1319" s="18" t="n">
        <x:v>1867.72</x:v>
      </x:c>
      <x:c r="E1319" s="18" t="n">
        <x:v>1876.91</x:v>
      </x:c>
      <x:c r="F1319" s="19" t="n">
        <x:v>131931</x:v>
      </x:c>
    </x:row>
    <x:row r="1320">
      <x:c r="A1320" s="17" t="n">
        <x:v>44937</x:v>
      </x:c>
      <x:c r="B1320" s="18" t="n">
        <x:v>1876.99</x:v>
      </x:c>
      <x:c r="C1320" s="18" t="n">
        <x:v>1886.63</x:v>
      </x:c>
      <x:c r="D1320" s="18" t="n">
        <x:v>1867.15</x:v>
      </x:c>
      <x:c r="E1320" s="18" t="n">
        <x:v>1875.65</x:v>
      </x:c>
      <x:c r="F1320" s="19" t="n">
        <x:v>125672</x:v>
      </x:c>
    </x:row>
    <x:row r="1321">
      <x:c r="A1321" s="17" t="n">
        <x:v>44938</x:v>
      </x:c>
      <x:c r="B1321" s="18" t="n">
        <x:v>1874.97</x:v>
      </x:c>
      <x:c r="C1321" s="18" t="n">
        <x:v>1901.61</x:v>
      </x:c>
      <x:c r="D1321" s="18" t="n">
        <x:v>1874.63</x:v>
      </x:c>
      <x:c r="E1321" s="18" t="n">
        <x:v>1896.75</x:v>
      </x:c>
      <x:c r="F1321" s="19" t="n">
        <x:v>169960</x:v>
      </x:c>
    </x:row>
    <x:row r="1322">
      <x:c r="A1322" s="17" t="n">
        <x:v>44939</x:v>
      </x:c>
      <x:c r="B1322" s="18" t="n">
        <x:v>1895.74</x:v>
      </x:c>
      <x:c r="C1322" s="18" t="n">
        <x:v>1921.89</x:v>
      </x:c>
      <x:c r="D1322" s="18" t="n">
        <x:v>1892.32</x:v>
      </x:c>
      <x:c r="E1322" s="18" t="n">
        <x:v>1920.29</x:v>
      </x:c>
      <x:c r="F1322" s="19" t="n">
        <x:v>159548</x:v>
      </x:c>
    </x:row>
    <x:row r="1323">
      <x:c r="A1323" s="17" t="n">
        <x:v>44942</x:v>
      </x:c>
      <x:c r="B1323" s="18" t="n">
        <x:v>1919</x:v>
      </x:c>
      <x:c r="C1323" s="18" t="n">
        <x:v>1928.96</x:v>
      </x:c>
      <x:c r="D1323" s="18" t="n">
        <x:v>1910.85</x:v>
      </x:c>
      <x:c r="E1323" s="18" t="n">
        <x:v>1915.45</x:v>
      </x:c>
      <x:c r="F1323" s="19" t="n">
        <x:v>90117</x:v>
      </x:c>
    </x:row>
    <x:row r="1324">
      <x:c r="A1324" s="17" t="n">
        <x:v>44943</x:v>
      </x:c>
      <x:c r="B1324" s="18" t="n">
        <x:v>1915.04</x:v>
      </x:c>
      <x:c r="C1324" s="18" t="n">
        <x:v>1919</x:v>
      </x:c>
      <x:c r="D1324" s="18" t="n">
        <x:v>1903.82</x:v>
      </x:c>
      <x:c r="E1324" s="18" t="n">
        <x:v>1908.59</x:v>
      </x:c>
      <x:c r="F1324" s="19" t="n">
        <x:v>139840</x:v>
      </x:c>
    </x:row>
    <x:row r="1325">
      <x:c r="A1325" s="17" t="n">
        <x:v>44944</x:v>
      </x:c>
      <x:c r="B1325" s="18" t="n">
        <x:v>1908.23</x:v>
      </x:c>
      <x:c r="C1325" s="18" t="n">
        <x:v>1925.89</x:v>
      </x:c>
      <x:c r="D1325" s="18" t="n">
        <x:v>1896.59</x:v>
      </x:c>
      <x:c r="E1325" s="18" t="n">
        <x:v>1904.16</x:v>
      </x:c>
      <x:c r="F1325" s="19" t="n">
        <x:v>180482</x:v>
      </x:c>
    </x:row>
    <x:row r="1326">
      <x:c r="A1326" s="17" t="n">
        <x:v>44945</x:v>
      </x:c>
      <x:c r="B1326" s="18" t="n">
        <x:v>1904</x:v>
      </x:c>
      <x:c r="C1326" s="18" t="n">
        <x:v>1935.17</x:v>
      </x:c>
      <x:c r="D1326" s="18" t="n">
        <x:v>1900.98</x:v>
      </x:c>
      <x:c r="E1326" s="18" t="n">
        <x:v>1932.12</x:v>
      </x:c>
      <x:c r="F1326" s="19" t="n">
        <x:v>156031</x:v>
      </x:c>
    </x:row>
    <x:row r="1327">
      <x:c r="A1327" s="17" t="n">
        <x:v>44946</x:v>
      </x:c>
      <x:c r="B1327" s="18" t="n">
        <x:v>1931.65</x:v>
      </x:c>
      <x:c r="C1327" s="18" t="n">
        <x:v>1937.54</x:v>
      </x:c>
      <x:c r="D1327" s="18" t="n">
        <x:v>1920.69</x:v>
      </x:c>
      <x:c r="E1327" s="18" t="n">
        <x:v>1925.92</x:v>
      </x:c>
      <x:c r="F1327" s="19" t="n">
        <x:v>136165</x:v>
      </x:c>
    </x:row>
    <x:row r="1328">
      <x:c r="A1328" s="17" t="n">
        <x:v>44949</x:v>
      </x:c>
      <x:c r="B1328" s="18" t="n">
        <x:v>1925.87</x:v>
      </x:c>
      <x:c r="C1328" s="18" t="n">
        <x:v>1935.59</x:v>
      </x:c>
      <x:c r="D1328" s="18" t="n">
        <x:v>1911.4</x:v>
      </x:c>
      <x:c r="E1328" s="18" t="n">
        <x:v>1930.85</x:v>
      </x:c>
      <x:c r="F1328" s="19" t="n">
        <x:v>145746</x:v>
      </x:c>
    </x:row>
    <x:row r="1329">
      <x:c r="A1329" s="17" t="n">
        <x:v>44950</x:v>
      </x:c>
      <x:c r="B1329" s="18" t="n">
        <x:v>1930.9</x:v>
      </x:c>
      <x:c r="C1329" s="18" t="n">
        <x:v>1942.53</x:v>
      </x:c>
      <x:c r="D1329" s="18" t="n">
        <x:v>1917.17</x:v>
      </x:c>
      <x:c r="E1329" s="18" t="n">
        <x:v>1937.26</x:v>
      </x:c>
      <x:c r="F1329" s="19" t="n">
        <x:v>143041</x:v>
      </x:c>
    </x:row>
    <x:row r="1330">
      <x:c r="A1330" s="17" t="n">
        <x:v>44951</x:v>
      </x:c>
      <x:c r="B1330" s="18" t="n">
        <x:v>1937.06</x:v>
      </x:c>
      <x:c r="C1330" s="18" t="n">
        <x:v>1948.06</x:v>
      </x:c>
      <x:c r="D1330" s="18" t="n">
        <x:v>1919.88</x:v>
      </x:c>
      <x:c r="E1330" s="18" t="n">
        <x:v>1946.08</x:v>
      </x:c>
      <x:c r="F1330" s="19" t="n">
        <x:v>143714</x:v>
      </x:c>
    </x:row>
    <x:row r="1331">
      <x:c r="A1331" s="17" t="n">
        <x:v>44952</x:v>
      </x:c>
      <x:c r="B1331" s="18" t="n">
        <x:v>1946.48</x:v>
      </x:c>
      <x:c r="C1331" s="18" t="n">
        <x:v>1949.09</x:v>
      </x:c>
      <x:c r="D1331" s="18" t="n">
        <x:v>1918.62</x:v>
      </x:c>
      <x:c r="E1331" s="18" t="n">
        <x:v>1928.94</x:v>
      </x:c>
      <x:c r="F1331" s="19" t="n">
        <x:v>144998</x:v>
      </x:c>
    </x:row>
    <x:row r="1332">
      <x:c r="A1332" s="17" t="n">
        <x:v>44953</x:v>
      </x:c>
      <x:c r="B1332" s="18" t="n">
        <x:v>1928.31</x:v>
      </x:c>
      <x:c r="C1332" s="18" t="n">
        <x:v>1935.11</x:v>
      </x:c>
      <x:c r="D1332" s="18" t="n">
        <x:v>1916.59</x:v>
      </x:c>
      <x:c r="E1332" s="18" t="n">
        <x:v>1928.3</x:v>
      </x:c>
      <x:c r="F1332" s="19" t="n">
        <x:v>119510</x:v>
      </x:c>
    </x:row>
    <x:row r="1333">
      <x:c r="A1333" s="17" t="n">
        <x:v>44956</x:v>
      </x:c>
      <x:c r="B1333" s="18" t="n">
        <x:v>1927.19</x:v>
      </x:c>
      <x:c r="C1333" s="18" t="n">
        <x:v>1934.5</x:v>
      </x:c>
      <x:c r="D1333" s="18" t="n">
        <x:v>1920.69</x:v>
      </x:c>
      <x:c r="E1333" s="18" t="n">
        <x:v>1923.23</x:v>
      </x:c>
      <x:c r="F1333" s="19" t="n">
        <x:v>145261</x:v>
      </x:c>
    </x:row>
    <x:row r="1334">
      <x:c r="A1334" s="17" t="n">
        <x:v>44957</x:v>
      </x:c>
      <x:c r="B1334" s="18" t="n">
        <x:v>1923</x:v>
      </x:c>
      <x:c r="C1334" s="18" t="n">
        <x:v>1931.15</x:v>
      </x:c>
      <x:c r="D1334" s="18" t="n">
        <x:v>1900.82</x:v>
      </x:c>
      <x:c r="E1334" s="18" t="n">
        <x:v>1928.1</x:v>
      </x:c>
      <x:c r="F1334" s="19" t="n">
        <x:v>163653</x:v>
      </x:c>
    </x:row>
    <x:row r="1335">
      <x:c r="A1335" s="17" t="n">
        <x:v>44958</x:v>
      </x:c>
      <x:c r="B1335" s="18" t="n">
        <x:v>1928.01</x:v>
      </x:c>
      <x:c r="C1335" s="18" t="n">
        <x:v>1954.54</x:v>
      </x:c>
      <x:c r="D1335" s="18" t="n">
        <x:v>1920.54</x:v>
      </x:c>
      <x:c r="E1335" s="18" t="n">
        <x:v>1950.06</x:v>
      </x:c>
      <x:c r="F1335" s="19" t="n">
        <x:v>170229</x:v>
      </x:c>
    </x:row>
    <x:row r="1336">
      <x:c r="A1336" s="17" t="n">
        <x:v>44959</x:v>
      </x:c>
      <x:c r="B1336" s="18" t="n">
        <x:v>1951.47</x:v>
      </x:c>
      <x:c r="C1336" s="18" t="n">
        <x:v>1959.68</x:v>
      </x:c>
      <x:c r="D1336" s="18" t="n">
        <x:v>1911.3</x:v>
      </x:c>
      <x:c r="E1336" s="18" t="n">
        <x:v>1912.6</x:v>
      </x:c>
      <x:c r="F1336" s="19" t="n">
        <x:v>187358</x:v>
      </x:c>
    </x:row>
    <x:row r="1337">
      <x:c r="A1337" s="17" t="n">
        <x:v>44960</x:v>
      </x:c>
      <x:c r="B1337" s="18" t="n">
        <x:v>1911.94</x:v>
      </x:c>
      <x:c r="C1337" s="18" t="n">
        <x:v>1918.6</x:v>
      </x:c>
      <x:c r="D1337" s="18" t="n">
        <x:v>1861.44</x:v>
      </x:c>
      <x:c r="E1337" s="18" t="n">
        <x:v>1865.81</x:v>
      </x:c>
      <x:c r="F1337" s="19" t="n">
        <x:v>180401</x:v>
      </x:c>
    </x:row>
    <x:row r="1338">
      <x:c r="A1338" s="17" t="n">
        <x:v>44963</x:v>
      </x:c>
      <x:c r="B1338" s="18" t="n">
        <x:v>1862.02</x:v>
      </x:c>
      <x:c r="C1338" s="18" t="n">
        <x:v>1881.38</x:v>
      </x:c>
      <x:c r="D1338" s="18" t="n">
        <x:v>1861.98</x:v>
      </x:c>
      <x:c r="E1338" s="18" t="n">
        <x:v>1867.65</x:v>
      </x:c>
      <x:c r="F1338" s="19" t="n">
        <x:v>151531</x:v>
      </x:c>
    </x:row>
    <x:row r="1339">
      <x:c r="A1339" s="17" t="n">
        <x:v>44964</x:v>
      </x:c>
      <x:c r="B1339" s="18" t="n">
        <x:v>1867.53</x:v>
      </x:c>
      <x:c r="C1339" s="18" t="n">
        <x:v>1884.4</x:v>
      </x:c>
      <x:c r="D1339" s="18" t="n">
        <x:v>1864.99</x:v>
      </x:c>
      <x:c r="E1339" s="18" t="n">
        <x:v>1873.63</x:v>
      </x:c>
      <x:c r="F1339" s="19" t="n">
        <x:v>157897</x:v>
      </x:c>
    </x:row>
    <x:row r="1340">
      <x:c r="A1340" s="17" t="n">
        <x:v>44965</x:v>
      </x:c>
      <x:c r="B1340" s="18" t="n">
        <x:v>1873.92</x:v>
      </x:c>
      <x:c r="C1340" s="18" t="n">
        <x:v>1886.36</x:v>
      </x:c>
      <x:c r="D1340" s="18" t="n">
        <x:v>1869.03</x:v>
      </x:c>
      <x:c r="E1340" s="18" t="n">
        <x:v>1875.55</x:v>
      </x:c>
      <x:c r="F1340" s="19" t="n">
        <x:v>122113</x:v>
      </x:c>
    </x:row>
    <x:row r="1341">
      <x:c r="A1341" s="17" t="n">
        <x:v>44966</x:v>
      </x:c>
      <x:c r="B1341" s="18" t="n">
        <x:v>1875.15</x:v>
      </x:c>
      <x:c r="C1341" s="18" t="n">
        <x:v>1890.31</x:v>
      </x:c>
      <x:c r="D1341" s="18" t="n">
        <x:v>1858.91</x:v>
      </x:c>
      <x:c r="E1341" s="18" t="n">
        <x:v>1861.59</x:v>
      </x:c>
      <x:c r="F1341" s="19" t="n">
        <x:v>126475</x:v>
      </x:c>
    </x:row>
    <x:row r="1342">
      <x:c r="A1342" s="17" t="n">
        <x:v>44967</x:v>
      </x:c>
      <x:c r="B1342" s="18" t="n">
        <x:v>1862.86</x:v>
      </x:c>
      <x:c r="C1342" s="18" t="n">
        <x:v>1872.23</x:v>
      </x:c>
      <x:c r="D1342" s="18" t="n">
        <x:v>1852.8</x:v>
      </x:c>
      <x:c r="E1342" s="18" t="n">
        <x:v>1865.35</x:v>
      </x:c>
      <x:c r="F1342" s="19" t="n">
        <x:v>138533</x:v>
      </x:c>
    </x:row>
    <x:row r="1343">
      <x:c r="A1343" s="17" t="n">
        <x:v>44970</x:v>
      </x:c>
      <x:c r="B1343" s="18" t="n">
        <x:v>1864.68</x:v>
      </x:c>
      <x:c r="C1343" s="18" t="n">
        <x:v>1866.58</x:v>
      </x:c>
      <x:c r="D1343" s="18" t="n">
        <x:v>1850.47</x:v>
      </x:c>
      <x:c r="E1343" s="18" t="n">
        <x:v>1853.41</x:v>
      </x:c>
      <x:c r="F1343" s="19" t="n">
        <x:v>108404</x:v>
      </x:c>
    </x:row>
    <x:row r="1344">
      <x:c r="A1344" s="17" t="n">
        <x:v>44971</x:v>
      </x:c>
      <x:c r="B1344" s="18" t="n">
        <x:v>1853.67</x:v>
      </x:c>
      <x:c r="C1344" s="18" t="n">
        <x:v>1870.66</x:v>
      </x:c>
      <x:c r="D1344" s="18" t="n">
        <x:v>1843.29</x:v>
      </x:c>
      <x:c r="E1344" s="18" t="n">
        <x:v>1854.36</x:v>
      </x:c>
      <x:c r="F1344" s="19" t="n">
        <x:v>146047</x:v>
      </x:c>
    </x:row>
    <x:row r="1345">
      <x:c r="A1345" s="17" t="n">
        <x:v>44972</x:v>
      </x:c>
      <x:c r="B1345" s="18" t="n">
        <x:v>1853.97</x:v>
      </x:c>
      <x:c r="C1345" s="18" t="n">
        <x:v>1860.11</x:v>
      </x:c>
      <x:c r="D1345" s="18" t="n">
        <x:v>1830.45</x:v>
      </x:c>
      <x:c r="E1345" s="18" t="n">
        <x:v>1835.85</x:v>
      </x:c>
      <x:c r="F1345" s="19" t="n">
        <x:v>130316</x:v>
      </x:c>
    </x:row>
    <x:row r="1346">
      <x:c r="A1346" s="17" t="n">
        <x:v>44973</x:v>
      </x:c>
      <x:c r="B1346" s="18" t="n">
        <x:v>1836.32</x:v>
      </x:c>
      <x:c r="C1346" s="18" t="n">
        <x:v>1845.3</x:v>
      </x:c>
      <x:c r="D1346" s="18" t="n">
        <x:v>1827.64</x:v>
      </x:c>
      <x:c r="E1346" s="18" t="n">
        <x:v>1836.43</x:v>
      </x:c>
      <x:c r="F1346" s="19" t="n">
        <x:v>136408</x:v>
      </x:c>
    </x:row>
    <x:row r="1347">
      <x:c r="A1347" s="17" t="n">
        <x:v>44974</x:v>
      </x:c>
      <x:c r="B1347" s="18" t="n">
        <x:v>1836.43</x:v>
      </x:c>
      <x:c r="C1347" s="18" t="n">
        <x:v>1843.6</x:v>
      </x:c>
      <x:c r="D1347" s="18" t="n">
        <x:v>1818.9</x:v>
      </x:c>
      <x:c r="E1347" s="18" t="n">
        <x:v>1842.54</x:v>
      </x:c>
      <x:c r="F1347" s="19" t="n">
        <x:v>130317</x:v>
      </x:c>
    </x:row>
    <x:row r="1348">
      <x:c r="A1348" s="17" t="n">
        <x:v>44977</x:v>
      </x:c>
      <x:c r="B1348" s="18" t="n">
        <x:v>1840.89</x:v>
      </x:c>
      <x:c r="C1348" s="18" t="n">
        <x:v>1847.48</x:v>
      </x:c>
      <x:c r="D1348" s="18" t="n">
        <x:v>1837.29</x:v>
      </x:c>
      <x:c r="E1348" s="18" t="n">
        <x:v>1841.26</x:v>
      </x:c>
      <x:c r="F1348" s="19" t="n">
        <x:v>68363</x:v>
      </x:c>
    </x:row>
    <x:row r="1349">
      <x:c r="A1349" s="17" t="n">
        <x:v>44978</x:v>
      </x:c>
      <x:c r="B1349" s="18" t="n">
        <x:v>1841.44</x:v>
      </x:c>
      <x:c r="C1349" s="18" t="n">
        <x:v>1843.84</x:v>
      </x:c>
      <x:c r="D1349" s="18" t="n">
        <x:v>1830.23</x:v>
      </x:c>
      <x:c r="E1349" s="18" t="n">
        <x:v>1834.87</x:v>
      </x:c>
      <x:c r="F1349" s="19" t="n">
        <x:v>127405</x:v>
      </x:c>
    </x:row>
    <x:row r="1350">
      <x:c r="A1350" s="17" t="n">
        <x:v>44979</x:v>
      </x:c>
      <x:c r="B1350" s="18" t="n">
        <x:v>1834.74</x:v>
      </x:c>
      <x:c r="C1350" s="18" t="n">
        <x:v>1846.03</x:v>
      </x:c>
      <x:c r="D1350" s="18" t="n">
        <x:v>1823.55</x:v>
      </x:c>
      <x:c r="E1350" s="18" t="n">
        <x:v>1825.2</x:v>
      </x:c>
      <x:c r="F1350" s="19" t="n">
        <x:v>135067</x:v>
      </x:c>
    </x:row>
    <x:row r="1351">
      <x:c r="A1351" s="17" t="n">
        <x:v>44980</x:v>
      </x:c>
      <x:c r="B1351" s="18" t="n">
        <x:v>1825.76</x:v>
      </x:c>
      <x:c r="C1351" s="18" t="n">
        <x:v>1833.78</x:v>
      </x:c>
      <x:c r="D1351" s="18" t="n">
        <x:v>1817.46</x:v>
      </x:c>
      <x:c r="E1351" s="18" t="n">
        <x:v>1822.27</x:v>
      </x:c>
      <x:c r="F1351" s="19" t="n">
        <x:v>122849</x:v>
      </x:c>
    </x:row>
    <x:row r="1352">
      <x:c r="A1352" s="17" t="n">
        <x:v>44981</x:v>
      </x:c>
      <x:c r="B1352" s="18" t="n">
        <x:v>1822.47</x:v>
      </x:c>
      <x:c r="C1352" s="18" t="n">
        <x:v>1827.82</x:v>
      </x:c>
      <x:c r="D1352" s="18" t="n">
        <x:v>1808.93</x:v>
      </x:c>
      <x:c r="E1352" s="18" t="n">
        <x:v>1810.82</x:v>
      </x:c>
      <x:c r="F1352" s="19" t="n">
        <x:v>135136</x:v>
      </x:c>
    </x:row>
    <x:row r="1353">
      <x:c r="A1353" s="17" t="n">
        <x:v>44984</x:v>
      </x:c>
      <x:c r="B1353" s="18" t="n">
        <x:v>1812.62</x:v>
      </x:c>
      <x:c r="C1353" s="18" t="n">
        <x:v>1820.18</x:v>
      </x:c>
      <x:c r="D1353" s="18" t="n">
        <x:v>1806.69</x:v>
      </x:c>
      <x:c r="E1353" s="18" t="n">
        <x:v>1817.25</x:v>
      </x:c>
      <x:c r="F1353" s="19" t="n">
        <x:v>115134</x:v>
      </x:c>
    </x:row>
    <x:row r="1354">
      <x:c r="A1354" s="17" t="n">
        <x:v>44985</x:v>
      </x:c>
      <x:c r="B1354" s="18" t="n">
        <x:v>1817.16</x:v>
      </x:c>
      <x:c r="C1354" s="18" t="n">
        <x:v>1831.18</x:v>
      </x:c>
      <x:c r="D1354" s="18" t="n">
        <x:v>1804.69</x:v>
      </x:c>
      <x:c r="E1354" s="18" t="n">
        <x:v>1826.5</x:v>
      </x:c>
      <x:c r="F1354" s="19" t="n">
        <x:v>114598</x:v>
      </x:c>
    </x:row>
    <x:row r="1355">
      <x:c r="A1355" s="17" t="n">
        <x:v>44986</x:v>
      </x:c>
      <x:c r="B1355" s="18" t="n">
        <x:v>1826.61</x:v>
      </x:c>
      <x:c r="C1355" s="18" t="n">
        <x:v>1844.55</x:v>
      </x:c>
      <x:c r="D1355" s="18" t="n">
        <x:v>1823.08</x:v>
      </x:c>
      <x:c r="E1355" s="18" t="n">
        <x:v>1836.56</x:v>
      </x:c>
      <x:c r="F1355" s="19" t="n">
        <x:v>124223</x:v>
      </x:c>
    </x:row>
    <x:row r="1356">
      <x:c r="A1356" s="17" t="n">
        <x:v>44987</x:v>
      </x:c>
      <x:c r="B1356" s="18" t="n">
        <x:v>1837.16</x:v>
      </x:c>
      <x:c r="C1356" s="18" t="n">
        <x:v>1839.01</x:v>
      </x:c>
      <x:c r="D1356" s="18" t="n">
        <x:v>1829.99</x:v>
      </x:c>
      <x:c r="E1356" s="18" t="n">
        <x:v>1835.6</x:v>
      </x:c>
      <x:c r="F1356" s="19" t="n">
        <x:v>115377</x:v>
      </x:c>
    </x:row>
    <x:row r="1357">
      <x:c r="A1357" s="17" t="n">
        <x:v>44988</x:v>
      </x:c>
      <x:c r="B1357" s="18" t="n">
        <x:v>1836.22</x:v>
      </x:c>
      <x:c r="C1357" s="18" t="n">
        <x:v>1856.32</x:v>
      </x:c>
      <x:c r="D1357" s="18" t="n">
        <x:v>1836.07</x:v>
      </x:c>
      <x:c r="E1357" s="18" t="n">
        <x:v>1855.3</x:v>
      </x:c>
      <x:c r="F1357" s="19" t="n">
        <x:v>114876</x:v>
      </x:c>
    </x:row>
    <x:row r="1358">
      <x:c r="A1358" s="17" t="n">
        <x:v>44991</x:v>
      </x:c>
      <x:c r="B1358" s="18" t="n">
        <x:v>1854.2</x:v>
      </x:c>
      <x:c r="C1358" s="18" t="n">
        <x:v>1858.27</x:v>
      </x:c>
      <x:c r="D1358" s="18" t="n">
        <x:v>1845.12</x:v>
      </x:c>
      <x:c r="E1358" s="18" t="n">
        <x:v>1846.61</x:v>
      </x:c>
      <x:c r="F1358" s="19" t="n">
        <x:v>107175</x:v>
      </x:c>
    </x:row>
    <x:row r="1359">
      <x:c r="A1359" s="17" t="n">
        <x:v>44992</x:v>
      </x:c>
      <x:c r="B1359" s="18" t="n">
        <x:v>1846.4</x:v>
      </x:c>
      <x:c r="C1359" s="18" t="n">
        <x:v>1851.66</x:v>
      </x:c>
      <x:c r="D1359" s="18" t="n">
        <x:v>1812.69</x:v>
      </x:c>
      <x:c r="E1359" s="18" t="n">
        <x:v>1813.05</x:v>
      </x:c>
      <x:c r="F1359" s="19" t="n">
        <x:v>134388</x:v>
      </x:c>
    </x:row>
    <x:row r="1360">
      <x:c r="A1360" s="17" t="n">
        <x:v>44993</x:v>
      </x:c>
      <x:c r="B1360" s="18" t="n">
        <x:v>1813.94</x:v>
      </x:c>
      <x:c r="C1360" s="18" t="n">
        <x:v>1824.3</x:v>
      </x:c>
      <x:c r="D1360" s="18" t="n">
        <x:v>1809.41</x:v>
      </x:c>
      <x:c r="E1360" s="18" t="n">
        <x:v>1813.72</x:v>
      </x:c>
      <x:c r="F1360" s="19" t="n">
        <x:v>122507</x:v>
      </x:c>
    </x:row>
    <x:row r="1361">
      <x:c r="A1361" s="17" t="n">
        <x:v>44994</x:v>
      </x:c>
      <x:c r="B1361" s="18" t="n">
        <x:v>1814.14</x:v>
      </x:c>
      <x:c r="C1361" s="18" t="n">
        <x:v>1835.68</x:v>
      </x:c>
      <x:c r="D1361" s="18" t="n">
        <x:v>1811.94</x:v>
      </x:c>
      <x:c r="E1361" s="18" t="n">
        <x:v>1830.77</x:v>
      </x:c>
      <x:c r="F1361" s="19" t="n">
        <x:v>126833</x:v>
      </x:c>
    </x:row>
    <x:row r="1362">
      <x:c r="A1362" s="17" t="n">
        <x:v>44995</x:v>
      </x:c>
      <x:c r="B1362" s="18" t="n">
        <x:v>1831.38</x:v>
      </x:c>
      <x:c r="C1362" s="18" t="n">
        <x:v>1870.18</x:v>
      </x:c>
      <x:c r="D1362" s="18" t="n">
        <x:v>1827.75</x:v>
      </x:c>
      <x:c r="E1362" s="18" t="n">
        <x:v>1867.15</x:v>
      </x:c>
      <x:c r="F1362" s="19" t="n">
        <x:v>189165</x:v>
      </x:c>
    </x:row>
    <x:row r="1363">
      <x:c r="A1363" s="17" t="n">
        <x:v>44998</x:v>
      </x:c>
      <x:c r="B1363" s="18" t="n">
        <x:v>1886.16</x:v>
      </x:c>
      <x:c r="C1363" s="18" t="n">
        <x:v>1914.62</x:v>
      </x:c>
      <x:c r="D1363" s="18" t="n">
        <x:v>1871.55</x:v>
      </x:c>
      <x:c r="E1363" s="18" t="n">
        <x:v>1913.56</x:v>
      </x:c>
      <x:c r="F1363" s="19" t="n">
        <x:v>252911</x:v>
      </x:c>
    </x:row>
    <x:row r="1364">
      <x:c r="A1364" s="17" t="n">
        <x:v>44999</x:v>
      </x:c>
      <x:c r="B1364" s="18" t="n">
        <x:v>1912.32</x:v>
      </x:c>
      <x:c r="C1364" s="18" t="n">
        <x:v>1914.15</x:v>
      </x:c>
      <x:c r="D1364" s="18" t="n">
        <x:v>1895.42</x:v>
      </x:c>
      <x:c r="E1364" s="18" t="n">
        <x:v>1903.86</x:v>
      </x:c>
      <x:c r="F1364" s="19" t="n">
        <x:v>191738</x:v>
      </x:c>
    </x:row>
    <x:row r="1365">
      <x:c r="A1365" s="17" t="n">
        <x:v>45000</x:v>
      </x:c>
      <x:c r="B1365" s="18" t="n">
        <x:v>1904.54</x:v>
      </x:c>
      <x:c r="C1365" s="18" t="n">
        <x:v>1937.36</x:v>
      </x:c>
      <x:c r="D1365" s="18" t="n">
        <x:v>1885.75</x:v>
      </x:c>
      <x:c r="E1365" s="18" t="n">
        <x:v>1918.01</x:v>
      </x:c>
      <x:c r="F1365" s="19" t="n">
        <x:v>209509</x:v>
      </x:c>
    </x:row>
    <x:row r="1366">
      <x:c r="A1366" s="17" t="n">
        <x:v>45001</x:v>
      </x:c>
      <x:c r="B1366" s="18" t="n">
        <x:v>1919.3</x:v>
      </x:c>
      <x:c r="C1366" s="18" t="n">
        <x:v>1933.51</x:v>
      </x:c>
      <x:c r="D1366" s="18" t="n">
        <x:v>1907.58</x:v>
      </x:c>
      <x:c r="E1366" s="18" t="n">
        <x:v>1919.34</x:v>
      </x:c>
      <x:c r="F1366" s="19" t="n">
        <x:v>194406</x:v>
      </x:c>
    </x:row>
    <x:row r="1367">
      <x:c r="A1367" s="17" t="n">
        <x:v>45002</x:v>
      </x:c>
      <x:c r="B1367" s="18" t="n">
        <x:v>1919.46</x:v>
      </x:c>
      <x:c r="C1367" s="18" t="n">
        <x:v>1988.17</x:v>
      </x:c>
      <x:c r="D1367" s="18" t="n">
        <x:v>1918.26</x:v>
      </x:c>
      <x:c r="E1367" s="18" t="n">
        <x:v>1988.17</x:v>
      </x:c>
      <x:c r="F1367" s="19" t="n">
        <x:v>178128</x:v>
      </x:c>
    </x:row>
    <x:row r="1368">
      <x:c r="A1368" s="17" t="n">
        <x:v>45005</x:v>
      </x:c>
      <x:c r="B1368" s="18" t="n">
        <x:v>1986.7</x:v>
      </x:c>
      <x:c r="C1368" s="18" t="n">
        <x:v>2009.8</x:v>
      </x:c>
      <x:c r="D1368" s="18" t="n">
        <x:v>1965.83</x:v>
      </x:c>
      <x:c r="E1368" s="18" t="n">
        <x:v>1978.64</x:v>
      </x:c>
      <x:c r="F1368" s="19" t="n">
        <x:v>216846</x:v>
      </x:c>
    </x:row>
    <x:row r="1369">
      <x:c r="A1369" s="17" t="n">
        <x:v>45006</x:v>
      </x:c>
      <x:c r="B1369" s="18" t="n">
        <x:v>1978.91</x:v>
      </x:c>
      <x:c r="C1369" s="18" t="n">
        <x:v>1985.19</x:v>
      </x:c>
      <x:c r="D1369" s="18" t="n">
        <x:v>1935.44</x:v>
      </x:c>
      <x:c r="E1369" s="18" t="n">
        <x:v>1940.53</x:v>
      </x:c>
      <x:c r="F1369" s="19" t="n">
        <x:v>149576</x:v>
      </x:c>
    </x:row>
    <x:row r="1370">
      <x:c r="A1370" s="17" t="n">
        <x:v>45007</x:v>
      </x:c>
      <x:c r="B1370" s="18" t="n">
        <x:v>1939.76</x:v>
      </x:c>
      <x:c r="C1370" s="18" t="n">
        <x:v>1979.19</x:v>
      </x:c>
      <x:c r="D1370" s="18" t="n">
        <x:v>1934.27</x:v>
      </x:c>
      <x:c r="E1370" s="18" t="n">
        <x:v>1969.79</x:v>
      </x:c>
      <x:c r="F1370" s="19" t="n">
        <x:v>129183</x:v>
      </x:c>
    </x:row>
    <x:row r="1371">
      <x:c r="A1371" s="17" t="n">
        <x:v>45008</x:v>
      </x:c>
      <x:c r="B1371" s="18" t="n">
        <x:v>1969.68</x:v>
      </x:c>
      <x:c r="C1371" s="18" t="n">
        <x:v>2003.33</x:v>
      </x:c>
      <x:c r="D1371" s="18" t="n">
        <x:v>1964.41</x:v>
      </x:c>
      <x:c r="E1371" s="18" t="n">
        <x:v>1993.97</x:v>
      </x:c>
      <x:c r="F1371" s="19" t="n">
        <x:v>180114</x:v>
      </x:c>
    </x:row>
    <x:row r="1372">
      <x:c r="A1372" s="17" t="n">
        <x:v>45009</x:v>
      </x:c>
      <x:c r="B1372" s="18" t="n">
        <x:v>1993.8</x:v>
      </x:c>
      <x:c r="C1372" s="18" t="n">
        <x:v>2002.96</x:v>
      </x:c>
      <x:c r="D1372" s="18" t="n">
        <x:v>1975.15</x:v>
      </x:c>
      <x:c r="E1372" s="18" t="n">
        <x:v>1978.81</x:v>
      </x:c>
      <x:c r="F1372" s="19" t="n">
        <x:v>185538</x:v>
      </x:c>
    </x:row>
    <x:row r="1373">
      <x:c r="A1373" s="17" t="n">
        <x:v>45012</x:v>
      </x:c>
      <x:c r="B1373" s="18" t="n">
        <x:v>1977.94</x:v>
      </x:c>
      <x:c r="C1373" s="18" t="n">
        <x:v>1978.74</x:v>
      </x:c>
      <x:c r="D1373" s="18" t="n">
        <x:v>1944.04</x:v>
      </x:c>
      <x:c r="E1373" s="18" t="n">
        <x:v>1956.35</x:v>
      </x:c>
      <x:c r="F1373" s="19" t="n">
        <x:v>137833</x:v>
      </x:c>
    </x:row>
    <x:row r="1374">
      <x:c r="A1374" s="17" t="n">
        <x:v>45013</x:v>
      </x:c>
      <x:c r="B1374" s="18" t="n">
        <x:v>1956.64</x:v>
      </x:c>
      <x:c r="C1374" s="18" t="n">
        <x:v>1975.32</x:v>
      </x:c>
      <x:c r="D1374" s="18" t="n">
        <x:v>1949.15</x:v>
      </x:c>
      <x:c r="E1374" s="18" t="n">
        <x:v>1973.52</x:v>
      </x:c>
      <x:c r="F1374" s="19" t="n">
        <x:v>123125</x:v>
      </x:c>
    </x:row>
    <x:row r="1375">
      <x:c r="A1375" s="17" t="n">
        <x:v>45014</x:v>
      </x:c>
      <x:c r="B1375" s="18" t="n">
        <x:v>1973.64</x:v>
      </x:c>
      <x:c r="C1375" s="18" t="n">
        <x:v>1974.28</x:v>
      </x:c>
      <x:c r="D1375" s="18" t="n">
        <x:v>1958.68</x:v>
      </x:c>
      <x:c r="E1375" s="18" t="n">
        <x:v>1964.37</x:v>
      </x:c>
      <x:c r="F1375" s="19" t="n">
        <x:v>112432</x:v>
      </x:c>
    </x:row>
    <x:row r="1376">
      <x:c r="A1376" s="17" t="n">
        <x:v>45015</x:v>
      </x:c>
      <x:c r="B1376" s="18" t="n">
        <x:v>1963.36</x:v>
      </x:c>
      <x:c r="C1376" s="18" t="n">
        <x:v>1984.37</x:v>
      </x:c>
      <x:c r="D1376" s="18" t="n">
        <x:v>1955.22</x:v>
      </x:c>
      <x:c r="E1376" s="18" t="n">
        <x:v>1980.21</x:v>
      </x:c>
      <x:c r="F1376" s="19" t="n">
        <x:v>114683</x:v>
      </x:c>
    </x:row>
    <x:row r="1377">
      <x:c r="A1377" s="17" t="n">
        <x:v>45016</x:v>
      </x:c>
      <x:c r="B1377" s="18" t="n">
        <x:v>1980.34</x:v>
      </x:c>
      <x:c r="C1377" s="18" t="n">
        <x:v>1987.63</x:v>
      </x:c>
      <x:c r="D1377" s="18" t="n">
        <x:v>1966.89</x:v>
      </x:c>
      <x:c r="E1377" s="18" t="n">
        <x:v>1969.41</x:v>
      </x:c>
      <x:c r="F1377" s="19" t="n">
        <x:v>122612</x:v>
      </x:c>
    </x:row>
    <x:row r="1378">
      <x:c r="A1378" s="17" t="n">
        <x:v>45019</x:v>
      </x:c>
      <x:c r="B1378" s="18" t="n">
        <x:v>1967.06</x:v>
      </x:c>
      <x:c r="C1378" s="18" t="n">
        <x:v>1990.54</x:v>
      </x:c>
      <x:c r="D1378" s="18" t="n">
        <x:v>1949.76</x:v>
      </x:c>
      <x:c r="E1378" s="18" t="n">
        <x:v>1984.35</x:v>
      </x:c>
      <x:c r="F1378" s="19" t="n">
        <x:v>134768</x:v>
      </x:c>
    </x:row>
    <x:row r="1379">
      <x:c r="A1379" s="17" t="n">
        <x:v>45020</x:v>
      </x:c>
      <x:c r="B1379" s="18" t="n">
        <x:v>1984.24</x:v>
      </x:c>
      <x:c r="C1379" s="18" t="n">
        <x:v>2025</x:v>
      </x:c>
      <x:c r="D1379" s="18" t="n">
        <x:v>1977.01</x:v>
      </x:c>
      <x:c r="E1379" s="18" t="n">
        <x:v>2020.53</x:v>
      </x:c>
      <x:c r="F1379" s="19" t="n">
        <x:v>130283</x:v>
      </x:c>
    </x:row>
    <x:row r="1380">
      <x:c r="A1380" s="17" t="n">
        <x:v>45021</x:v>
      </x:c>
      <x:c r="B1380" s="18" t="n">
        <x:v>2021.09</x:v>
      </x:c>
      <x:c r="C1380" s="18" t="n">
        <x:v>2032.26</x:v>
      </x:c>
      <x:c r="D1380" s="18" t="n">
        <x:v>2009.9</x:v>
      </x:c>
      <x:c r="E1380" s="18" t="n">
        <x:v>2020.66</x:v>
      </x:c>
      <x:c r="F1380" s="19" t="n">
        <x:v>144574</x:v>
      </x:c>
    </x:row>
    <x:row r="1381">
      <x:c r="A1381" s="17" t="n">
        <x:v>45022</x:v>
      </x:c>
      <x:c r="B1381" s="18" t="n">
        <x:v>2020.75</x:v>
      </x:c>
      <x:c r="C1381" s="18" t="n">
        <x:v>2021.4</x:v>
      </x:c>
      <x:c r="D1381" s="18" t="n">
        <x:v>2000.84</x:v>
      </x:c>
      <x:c r="E1381" s="18" t="n">
        <x:v>2007.32</x:v>
      </x:c>
      <x:c r="F1381" s="19" t="n">
        <x:v>137810</x:v>
      </x:c>
    </x:row>
    <x:row r="1382">
      <x:c r="A1382" s="17" t="n">
        <x:v>45026</x:v>
      </x:c>
      <x:c r="B1382" s="18" t="n">
        <x:v>1997.3</x:v>
      </x:c>
      <x:c r="C1382" s="18" t="n">
        <x:v>2006.29</x:v>
      </x:c>
      <x:c r="D1382" s="18" t="n">
        <x:v>1981.72</x:v>
      </x:c>
      <x:c r="E1382" s="18" t="n">
        <x:v>1991.18</x:v>
      </x:c>
      <x:c r="F1382" s="19" t="n">
        <x:v>109339</x:v>
      </x:c>
    </x:row>
    <x:row r="1383">
      <x:c r="A1383" s="17" t="n">
        <x:v>45027</x:v>
      </x:c>
      <x:c r="B1383" s="18" t="n">
        <x:v>1991.07</x:v>
      </x:c>
      <x:c r="C1383" s="18" t="n">
        <x:v>2007.44</x:v>
      </x:c>
      <x:c r="D1383" s="18" t="n">
        <x:v>1988.82</x:v>
      </x:c>
      <x:c r="E1383" s="18" t="n">
        <x:v>2003.52</x:v>
      </x:c>
      <x:c r="F1383" s="19" t="n">
        <x:v>123789</x:v>
      </x:c>
    </x:row>
    <x:row r="1384">
      <x:c r="A1384" s="17" t="n">
        <x:v>45028</x:v>
      </x:c>
      <x:c r="B1384" s="18" t="n">
        <x:v>2003.14</x:v>
      </x:c>
      <x:c r="C1384" s="18" t="n">
        <x:v>2028.35</x:v>
      </x:c>
      <x:c r="D1384" s="18" t="n">
        <x:v>2001.39</x:v>
      </x:c>
      <x:c r="E1384" s="18" t="n">
        <x:v>2014.77</x:v>
      </x:c>
      <x:c r="F1384" s="19" t="n">
        <x:v>159771</x:v>
      </x:c>
    </x:row>
    <x:row r="1385">
      <x:c r="A1385" s="17" t="n">
        <x:v>45029</x:v>
      </x:c>
      <x:c r="B1385" s="18" t="n">
        <x:v>2014.44</x:v>
      </x:c>
      <x:c r="C1385" s="18" t="n">
        <x:v>2048.67</x:v>
      </x:c>
      <x:c r="D1385" s="18" t="n">
        <x:v>2013.95</x:v>
      </x:c>
      <x:c r="E1385" s="18" t="n">
        <x:v>2040.1</x:v>
      </x:c>
      <x:c r="F1385" s="19" t="n">
        <x:v>149901</x:v>
      </x:c>
    </x:row>
    <x:row r="1386">
      <x:c r="A1386" s="17" t="n">
        <x:v>45030</x:v>
      </x:c>
      <x:c r="B1386" s="18" t="n">
        <x:v>2040.17</x:v>
      </x:c>
      <x:c r="C1386" s="18" t="n">
        <x:v>2047.47</x:v>
      </x:c>
      <x:c r="D1386" s="18" t="n">
        <x:v>1992.4</x:v>
      </x:c>
      <x:c r="E1386" s="18" t="n">
        <x:v>2004.42</x:v>
      </x:c>
      <x:c r="F1386" s="19" t="n">
        <x:v>175966</x:v>
      </x:c>
    </x:row>
    <x:row r="1387">
      <x:c r="A1387" s="17" t="n">
        <x:v>45033</x:v>
      </x:c>
      <x:c r="B1387" s="18" t="n">
        <x:v>1999.29</x:v>
      </x:c>
      <x:c r="C1387" s="18" t="n">
        <x:v>2015.05</x:v>
      </x:c>
      <x:c r="D1387" s="18" t="n">
        <x:v>1981.18</x:v>
      </x:c>
      <x:c r="E1387" s="18" t="n">
        <x:v>1995.08</x:v>
      </x:c>
      <x:c r="F1387" s="19" t="n">
        <x:v>148115</x:v>
      </x:c>
    </x:row>
    <x:row r="1388">
      <x:c r="A1388" s="17" t="n">
        <x:v>45034</x:v>
      </x:c>
      <x:c r="B1388" s="18" t="n">
        <x:v>1994.76</x:v>
      </x:c>
      <x:c r="C1388" s="18" t="n">
        <x:v>2011.82</x:v>
      </x:c>
      <x:c r="D1388" s="18" t="n">
        <x:v>1991.19</x:v>
      </x:c>
      <x:c r="E1388" s="18" t="n">
        <x:v>2005.21</x:v>
      </x:c>
      <x:c r="F1388" s="19" t="n">
        <x:v>129636</x:v>
      </x:c>
    </x:row>
    <x:row r="1389">
      <x:c r="A1389" s="17" t="n">
        <x:v>45035</x:v>
      </x:c>
      <x:c r="B1389" s="18" t="n">
        <x:v>2005.1</x:v>
      </x:c>
      <x:c r="C1389" s="18" t="n">
        <x:v>2008.2</x:v>
      </x:c>
      <x:c r="D1389" s="18" t="n">
        <x:v>1969.18</x:v>
      </x:c>
      <x:c r="E1389" s="18" t="n">
        <x:v>1994.67</x:v>
      </x:c>
      <x:c r="F1389" s="19" t="n">
        <x:v>154703</x:v>
      </x:c>
    </x:row>
    <x:row r="1390">
      <x:c r="A1390" s="17" t="n">
        <x:v>45036</x:v>
      </x:c>
      <x:c r="B1390" s="18" t="n">
        <x:v>1994.35</x:v>
      </x:c>
      <x:c r="C1390" s="18" t="n">
        <x:v>2012.39</x:v>
      </x:c>
      <x:c r="D1390" s="18" t="n">
        <x:v>1990.5</x:v>
      </x:c>
      <x:c r="E1390" s="18" t="n">
        <x:v>2004.7</x:v>
      </x:c>
      <x:c r="F1390" s="19" t="n">
        <x:v>146685</x:v>
      </x:c>
    </x:row>
    <x:row r="1391">
      <x:c r="A1391" s="17" t="n">
        <x:v>45037</x:v>
      </x:c>
      <x:c r="B1391" s="18" t="n">
        <x:v>2004.2</x:v>
      </x:c>
      <x:c r="C1391" s="18" t="n">
        <x:v>2005.53</x:v>
      </x:c>
      <x:c r="D1391" s="18" t="n">
        <x:v>1971.59</x:v>
      </x:c>
      <x:c r="E1391" s="18" t="n">
        <x:v>1982.84</x:v>
      </x:c>
      <x:c r="F1391" s="19" t="n">
        <x:v>152487</x:v>
      </x:c>
    </x:row>
    <x:row r="1392">
      <x:c r="A1392" s="17" t="n">
        <x:v>45040</x:v>
      </x:c>
      <x:c r="B1392" s="18" t="n">
        <x:v>1982.38</x:v>
      </x:c>
      <x:c r="C1392" s="18" t="n">
        <x:v>1990.79</x:v>
      </x:c>
      <x:c r="D1392" s="18" t="n">
        <x:v>1974.13</x:v>
      </x:c>
      <x:c r="E1392" s="18" t="n">
        <x:v>1989.05</x:v>
      </x:c>
      <x:c r="F1392" s="19" t="n">
        <x:v>139790</x:v>
      </x:c>
    </x:row>
    <x:row r="1393">
      <x:c r="A1393" s="17" t="n">
        <x:v>45041</x:v>
      </x:c>
      <x:c r="B1393" s="18" t="n">
        <x:v>1989.18</x:v>
      </x:c>
      <x:c r="C1393" s="18" t="n">
        <x:v>2003.85</x:v>
      </x:c>
      <x:c r="D1393" s="18" t="n">
        <x:v>1976.09</x:v>
      </x:c>
      <x:c r="E1393" s="18" t="n">
        <x:v>1997.06</x:v>
      </x:c>
      <x:c r="F1393" s="19" t="n">
        <x:v>165145</x:v>
      </x:c>
    </x:row>
    <x:row r="1394">
      <x:c r="A1394" s="17" t="n">
        <x:v>45042</x:v>
      </x:c>
      <x:c r="B1394" s="18" t="n">
        <x:v>1996.86</x:v>
      </x:c>
      <x:c r="C1394" s="18" t="n">
        <x:v>2009.43</x:v>
      </x:c>
      <x:c r="D1394" s="18" t="n">
        <x:v>1983.37</x:v>
      </x:c>
      <x:c r="E1394" s="18" t="n">
        <x:v>1989.29</x:v>
      </x:c>
      <x:c r="F1394" s="19" t="n">
        <x:v>173748</x:v>
      </x:c>
    </x:row>
    <x:row r="1395">
      <x:c r="A1395" s="17" t="n">
        <x:v>45043</x:v>
      </x:c>
      <x:c r="B1395" s="18" t="n">
        <x:v>1989.84</x:v>
      </x:c>
      <x:c r="C1395" s="18" t="n">
        <x:v>2003.34</x:v>
      </x:c>
      <x:c r="D1395" s="18" t="n">
        <x:v>1974.22</x:v>
      </x:c>
      <x:c r="E1395" s="18" t="n">
        <x:v>1987.74</x:v>
      </x:c>
      <x:c r="F1395" s="19" t="n">
        <x:v>159975</x:v>
      </x:c>
    </x:row>
    <x:row r="1396">
      <x:c r="A1396" s="17" t="n">
        <x:v>45044</x:v>
      </x:c>
      <x:c r="B1396" s="18" t="n">
        <x:v>1987.48</x:v>
      </x:c>
      <x:c r="C1396" s="18" t="n">
        <x:v>1995.04</x:v>
      </x:c>
      <x:c r="D1396" s="18" t="n">
        <x:v>1976.15</x:v>
      </x:c>
      <x:c r="E1396" s="18" t="n">
        <x:v>1989.55</x:v>
      </x:c>
      <x:c r="F1396" s="19" t="n">
        <x:v>184958</x:v>
      </x:c>
    </x:row>
    <x:row r="1397">
      <x:c r="A1397" s="17" t="n">
        <x:v>45047</x:v>
      </x:c>
      <x:c r="B1397" s="18" t="n">
        <x:v>1989.54</x:v>
      </x:c>
      <x:c r="C1397" s="18" t="n">
        <x:v>2006</x:v>
      </x:c>
      <x:c r="D1397" s="18" t="n">
        <x:v>1977.09</x:v>
      </x:c>
      <x:c r="E1397" s="18" t="n">
        <x:v>1982.44</x:v>
      </x:c>
      <x:c r="F1397" s="19" t="n">
        <x:v>124357</x:v>
      </x:c>
    </x:row>
    <x:row r="1398">
      <x:c r="A1398" s="17" t="n">
        <x:v>45048</x:v>
      </x:c>
      <x:c r="B1398" s="18" t="n">
        <x:v>1982.12</x:v>
      </x:c>
      <x:c r="C1398" s="18" t="n">
        <x:v>2019.41</x:v>
      </x:c>
      <x:c r="D1398" s="18" t="n">
        <x:v>1978.49</x:v>
      </x:c>
      <x:c r="E1398" s="18" t="n">
        <x:v>2016.53</x:v>
      </x:c>
      <x:c r="F1398" s="19" t="n">
        <x:v>163747</x:v>
      </x:c>
    </x:row>
    <x:row r="1399">
      <x:c r="A1399" s="17" t="n">
        <x:v>45049</x:v>
      </x:c>
      <x:c r="B1399" s="18" t="n">
        <x:v>2016.03</x:v>
      </x:c>
      <x:c r="C1399" s="18" t="n">
        <x:v>2040.37</x:v>
      </x:c>
      <x:c r="D1399" s="18" t="n">
        <x:v>2007.78</x:v>
      </x:c>
      <x:c r="E1399" s="18" t="n">
        <x:v>2038.52</x:v>
      </x:c>
      <x:c r="F1399" s="19" t="n">
        <x:v>163007</x:v>
      </x:c>
    </x:row>
    <x:row r="1400">
      <x:c r="A1400" s="17" t="n">
        <x:v>45050</x:v>
      </x:c>
      <x:c r="B1400" s="18" t="n">
        <x:v>2064.37</x:v>
      </x:c>
      <x:c r="C1400" s="18" t="n">
        <x:v>2066.81</x:v>
      </x:c>
      <x:c r="D1400" s="18" t="n">
        <x:v>2030.38</x:v>
      </x:c>
      <x:c r="E1400" s="18" t="n">
        <x:v>2050.15</x:v>
      </x:c>
      <x:c r="F1400" s="19" t="n">
        <x:v>236494</x:v>
      </x:c>
    </x:row>
    <x:row r="1401">
      <x:c r="A1401" s="17" t="n">
        <x:v>45051</x:v>
      </x:c>
      <x:c r="B1401" s="18" t="n">
        <x:v>2049.01</x:v>
      </x:c>
      <x:c r="C1401" s="18" t="n">
        <x:v>2053</x:v>
      </x:c>
      <x:c r="D1401" s="18" t="n">
        <x:v>1999.51</x:v>
      </x:c>
      <x:c r="E1401" s="18" t="n">
        <x:v>2016.54</x:v>
      </x:c>
      <x:c r="F1401" s="19" t="n">
        <x:v>171684</x:v>
      </x:c>
    </x:row>
    <x:row r="1402">
      <x:c r="A1402" s="17" t="n">
        <x:v>45054</x:v>
      </x:c>
      <x:c r="B1402" s="18" t="n">
        <x:v>2017.12</x:v>
      </x:c>
      <x:c r="C1402" s="18" t="n">
        <x:v>2029.42</x:v>
      </x:c>
      <x:c r="D1402" s="18" t="n">
        <x:v>2014.07</x:v>
      </x:c>
      <x:c r="E1402" s="18" t="n">
        <x:v>2021.36</x:v>
      </x:c>
      <x:c r="F1402" s="19" t="n">
        <x:v>127751</x:v>
      </x:c>
    </x:row>
    <x:row r="1403">
      <x:c r="A1403" s="17" t="n">
        <x:v>45055</x:v>
      </x:c>
      <x:c r="B1403" s="18" t="n">
        <x:v>2021.17</x:v>
      </x:c>
      <x:c r="C1403" s="18" t="n">
        <x:v>2037.62</x:v>
      </x:c>
      <x:c r="D1403" s="18" t="n">
        <x:v>2019.51</x:v>
      </x:c>
      <x:c r="E1403" s="18" t="n">
        <x:v>2034.42</x:v>
      </x:c>
      <x:c r="F1403" s="19" t="n">
        <x:v>126509</x:v>
      </x:c>
    </x:row>
    <x:row r="1404">
      <x:c r="A1404" s="17" t="n">
        <x:v>45056</x:v>
      </x:c>
      <x:c r="B1404" s="18" t="n">
        <x:v>2034.4</x:v>
      </x:c>
      <x:c r="C1404" s="18" t="n">
        <x:v>2048.18</x:v>
      </x:c>
      <x:c r="D1404" s="18" t="n">
        <x:v>2021.55</x:v>
      </x:c>
      <x:c r="E1404" s="18" t="n">
        <x:v>2030.1</x:v>
      </x:c>
      <x:c r="F1404" s="19" t="n">
        <x:v>155324</x:v>
      </x:c>
    </x:row>
    <x:row r="1405">
      <x:c r="A1405" s="17" t="n">
        <x:v>45057</x:v>
      </x:c>
      <x:c r="B1405" s="18" t="n">
        <x:v>2029.86</x:v>
      </x:c>
      <x:c r="C1405" s="18" t="n">
        <x:v>2041.29</x:v>
      </x:c>
      <x:c r="D1405" s="18" t="n">
        <x:v>2011.04</x:v>
      </x:c>
      <x:c r="E1405" s="18" t="n">
        <x:v>2014.95</x:v>
      </x:c>
      <x:c r="F1405" s="19" t="n">
        <x:v>171712</x:v>
      </x:c>
    </x:row>
    <x:row r="1406">
      <x:c r="A1406" s="17" t="n">
        <x:v>45058</x:v>
      </x:c>
      <x:c r="B1406" s="18" t="n">
        <x:v>2015.12</x:v>
      </x:c>
      <x:c r="C1406" s="18" t="n">
        <x:v>2022.59</x:v>
      </x:c>
      <x:c r="D1406" s="18" t="n">
        <x:v>2000.89</x:v>
      </x:c>
      <x:c r="E1406" s="18" t="n">
        <x:v>2010.91</x:v>
      </x:c>
      <x:c r="F1406" s="19" t="n">
        <x:v>139283</x:v>
      </x:c>
    </x:row>
    <x:row r="1407">
      <x:c r="A1407" s="17" t="n">
        <x:v>45061</x:v>
      </x:c>
      <x:c r="B1407" s="18" t="n">
        <x:v>2008.04</x:v>
      </x:c>
      <x:c r="C1407" s="18" t="n">
        <x:v>2022.21</x:v>
      </x:c>
      <x:c r="D1407" s="18" t="n">
        <x:v>2007.28</x:v>
      </x:c>
      <x:c r="E1407" s="18" t="n">
        <x:v>2016.32</x:v>
      </x:c>
      <x:c r="F1407" s="19" t="n">
        <x:v>117826</x:v>
      </x:c>
    </x:row>
    <x:row r="1408">
      <x:c r="A1408" s="17" t="n">
        <x:v>45062</x:v>
      </x:c>
      <x:c r="B1408" s="18" t="n">
        <x:v>2016.54</x:v>
      </x:c>
      <x:c r="C1408" s="18" t="n">
        <x:v>2018.32</x:v>
      </x:c>
      <x:c r="D1408" s="18" t="n">
        <x:v>1985.19</x:v>
      </x:c>
      <x:c r="E1408" s="18" t="n">
        <x:v>1988.81</x:v>
      </x:c>
      <x:c r="F1408" s="19" t="n">
        <x:v>130829</x:v>
      </x:c>
    </x:row>
    <x:row r="1409">
      <x:c r="A1409" s="17" t="n">
        <x:v>45063</x:v>
      </x:c>
      <x:c r="B1409" s="18" t="n">
        <x:v>1988.89</x:v>
      </x:c>
      <x:c r="C1409" s="18" t="n">
        <x:v>1993.04</x:v>
      </x:c>
      <x:c r="D1409" s="18" t="n">
        <x:v>1974.98</x:v>
      </x:c>
      <x:c r="E1409" s="18" t="n">
        <x:v>1981.41</x:v>
      </x:c>
      <x:c r="F1409" s="19" t="n">
        <x:v>119404</x:v>
      </x:c>
    </x:row>
    <x:row r="1410">
      <x:c r="A1410" s="17" t="n">
        <x:v>45064</x:v>
      </x:c>
      <x:c r="B1410" s="18" t="n">
        <x:v>1981.6</x:v>
      </x:c>
      <x:c r="C1410" s="18" t="n">
        <x:v>1986.01</x:v>
      </x:c>
      <x:c r="D1410" s="18" t="n">
        <x:v>1951.98</x:v>
      </x:c>
      <x:c r="E1410" s="18" t="n">
        <x:v>1957.39</x:v>
      </x:c>
      <x:c r="F1410" s="19" t="n">
        <x:v>121863</x:v>
      </x:c>
    </x:row>
    <x:row r="1411">
      <x:c r="A1411" s="17" t="n">
        <x:v>45065</x:v>
      </x:c>
      <x:c r="B1411" s="18" t="n">
        <x:v>1958.11</x:v>
      </x:c>
      <x:c r="C1411" s="18" t="n">
        <x:v>1984.18</x:v>
      </x:c>
      <x:c r="D1411" s="18" t="n">
        <x:v>1954.02</x:v>
      </x:c>
      <x:c r="E1411" s="18" t="n">
        <x:v>1977.5</x:v>
      </x:c>
      <x:c r="F1411" s="19" t="n">
        <x:v>137157</x:v>
      </x:c>
    </x:row>
    <x:row r="1412">
      <x:c r="A1412" s="17" t="n">
        <x:v>45068</x:v>
      </x:c>
      <x:c r="B1412" s="18" t="n">
        <x:v>1977.99</x:v>
      </x:c>
      <x:c r="C1412" s="18" t="n">
        <x:v>1982.59</x:v>
      </x:c>
      <x:c r="D1412" s="18" t="n">
        <x:v>1968.87</x:v>
      </x:c>
      <x:c r="E1412" s="18" t="n">
        <x:v>1971.73</x:v>
      </x:c>
      <x:c r="F1412" s="19" t="n">
        <x:v>119525</x:v>
      </x:c>
    </x:row>
    <x:row r="1413">
      <x:c r="A1413" s="17" t="n">
        <x:v>45069</x:v>
      </x:c>
      <x:c r="B1413" s="18" t="n">
        <x:v>1971.88</x:v>
      </x:c>
      <x:c r="C1413" s="18" t="n">
        <x:v>1977.78</x:v>
      </x:c>
      <x:c r="D1413" s="18" t="n">
        <x:v>1954.24</x:v>
      </x:c>
      <x:c r="E1413" s="18" t="n">
        <x:v>1974.88</x:v>
      </x:c>
      <x:c r="F1413" s="19" t="n">
        <x:v>132954</x:v>
      </x:c>
    </x:row>
    <x:row r="1414">
      <x:c r="A1414" s="17" t="n">
        <x:v>45070</x:v>
      </x:c>
      <x:c r="B1414" s="18" t="n">
        <x:v>1975.21</x:v>
      </x:c>
      <x:c r="C1414" s="18" t="n">
        <x:v>1985.29</x:v>
      </x:c>
      <x:c r="D1414" s="18" t="n">
        <x:v>1956.71</x:v>
      </x:c>
      <x:c r="E1414" s="18" t="n">
        <x:v>1957.24</x:v>
      </x:c>
      <x:c r="F1414" s="19" t="n">
        <x:v>132173</x:v>
      </x:c>
    </x:row>
    <x:row r="1415">
      <x:c r="A1415" s="17" t="n">
        <x:v>45071</x:v>
      </x:c>
      <x:c r="B1415" s="18" t="n">
        <x:v>1958.43</x:v>
      </x:c>
      <x:c r="C1415" s="18" t="n">
        <x:v>1964.77</x:v>
      </x:c>
      <x:c r="D1415" s="18" t="n">
        <x:v>1938.84</x:v>
      </x:c>
      <x:c r="E1415" s="18" t="n">
        <x:v>1940.69</x:v>
      </x:c>
      <x:c r="F1415" s="19" t="n">
        <x:v>131856</x:v>
      </x:c>
    </x:row>
    <x:row r="1416">
      <x:c r="A1416" s="17" t="n">
        <x:v>45072</x:v>
      </x:c>
      <x:c r="B1416" s="18" t="n">
        <x:v>1941.49</x:v>
      </x:c>
      <x:c r="C1416" s="18" t="n">
        <x:v>1957.3</x:v>
      </x:c>
      <x:c r="D1416" s="18" t="n">
        <x:v>1936.76</x:v>
      </x:c>
      <x:c r="E1416" s="18" t="n">
        <x:v>1946.72</x:v>
      </x:c>
      <x:c r="F1416" s="19" t="n">
        <x:v>120249</x:v>
      </x:c>
    </x:row>
    <x:row r="1417">
      <x:c r="A1417" s="17" t="n">
        <x:v>45075</x:v>
      </x:c>
      <x:c r="B1417" s="18" t="n">
        <x:v>1942.84</x:v>
      </x:c>
      <x:c r="C1417" s="18" t="n">
        <x:v>1949.71</x:v>
      </x:c>
      <x:c r="D1417" s="18" t="n">
        <x:v>1940.22</x:v>
      </x:c>
      <x:c r="E1417" s="18" t="n">
        <x:v>1943.15</x:v>
      </x:c>
      <x:c r="F1417" s="19" t="n">
        <x:v>52967</x:v>
      </x:c>
    </x:row>
    <x:row r="1418">
      <x:c r="A1418" s="17" t="n">
        <x:v>45076</x:v>
      </x:c>
      <x:c r="B1418" s="18" t="n">
        <x:v>1943.68</x:v>
      </x:c>
      <x:c r="C1418" s="18" t="n">
        <x:v>1963.55</x:v>
      </x:c>
      <x:c r="D1418" s="18" t="n">
        <x:v>1932.05</x:v>
      </x:c>
      <x:c r="E1418" s="18" t="n">
        <x:v>1959.17</x:v>
      </x:c>
      <x:c r="F1418" s="19" t="n">
        <x:v>124746</x:v>
      </x:c>
    </x:row>
    <x:row r="1419">
      <x:c r="A1419" s="17" t="n">
        <x:v>45077</x:v>
      </x:c>
      <x:c r="B1419" s="18" t="n">
        <x:v>1958.88</x:v>
      </x:c>
      <x:c r="C1419" s="18" t="n">
        <x:v>1974.79</x:v>
      </x:c>
      <x:c r="D1419" s="18" t="n">
        <x:v>1953.68</x:v>
      </x:c>
      <x:c r="E1419" s="18" t="n">
        <x:v>1962.6</x:v>
      </x:c>
      <x:c r="F1419" s="19" t="n">
        <x:v>135381</x:v>
      </x:c>
    </x:row>
    <x:row r="1420">
      <x:c r="A1420" s="17" t="n">
        <x:v>45078</x:v>
      </x:c>
      <x:c r="B1420" s="18" t="n">
        <x:v>1963.16</x:v>
      </x:c>
      <x:c r="C1420" s="18" t="n">
        <x:v>1983.1</x:v>
      </x:c>
      <x:c r="D1420" s="18" t="n">
        <x:v>1953.39</x:v>
      </x:c>
      <x:c r="E1420" s="18" t="n">
        <x:v>1977.4</x:v>
      </x:c>
      <x:c r="F1420" s="19" t="n">
        <x:v>129954</x:v>
      </x:c>
    </x:row>
    <x:row r="1421">
      <x:c r="A1421" s="17" t="n">
        <x:v>45079</x:v>
      </x:c>
      <x:c r="B1421" s="18" t="n">
        <x:v>1976.96</x:v>
      </x:c>
      <x:c r="C1421" s="18" t="n">
        <x:v>1983.48</x:v>
      </x:c>
      <x:c r="D1421" s="18" t="n">
        <x:v>1947.5</x:v>
      </x:c>
      <x:c r="E1421" s="18" t="n">
        <x:v>1947.62</x:v>
      </x:c>
      <x:c r="F1421" s="19" t="n">
        <x:v>123567</x:v>
      </x:c>
    </x:row>
    <x:row r="1422">
      <x:c r="A1422" s="17" t="n">
        <x:v>45082</x:v>
      </x:c>
      <x:c r="B1422" s="18" t="n">
        <x:v>1947.68</x:v>
      </x:c>
      <x:c r="C1422" s="18" t="n">
        <x:v>1964.03</x:v>
      </x:c>
      <x:c r="D1422" s="18" t="n">
        <x:v>1938.13</x:v>
      </x:c>
      <x:c r="E1422" s="18" t="n">
        <x:v>1961.7</x:v>
      </x:c>
      <x:c r="F1422" s="19" t="n">
        <x:v>126309</x:v>
      </x:c>
    </x:row>
    <x:row r="1423">
      <x:c r="A1423" s="17" t="n">
        <x:v>45083</x:v>
      </x:c>
      <x:c r="B1423" s="18" t="n">
        <x:v>1961.56</x:v>
      </x:c>
      <x:c r="C1423" s="18" t="n">
        <x:v>1966.4</x:v>
      </x:c>
      <x:c r="D1423" s="18" t="n">
        <x:v>1954.39</x:v>
      </x:c>
      <x:c r="E1423" s="18" t="n">
        <x:v>1963.23</x:v>
      </x:c>
      <x:c r="F1423" s="19" t="n">
        <x:v>108610</x:v>
      </x:c>
    </x:row>
    <x:row r="1424">
      <x:c r="A1424" s="17" t="n">
        <x:v>45084</x:v>
      </x:c>
      <x:c r="B1424" s="18" t="n">
        <x:v>1963.51</x:v>
      </x:c>
      <x:c r="C1424" s="18" t="n">
        <x:v>1970.18</x:v>
      </x:c>
      <x:c r="D1424" s="18" t="n">
        <x:v>1939.77</x:v>
      </x:c>
      <x:c r="E1424" s="18" t="n">
        <x:v>1939.87</x:v>
      </x:c>
      <x:c r="F1424" s="19" t="n">
        <x:v>116106</x:v>
      </x:c>
    </x:row>
    <x:row r="1425">
      <x:c r="A1425" s="17" t="n">
        <x:v>45085</x:v>
      </x:c>
      <x:c r="B1425" s="18" t="n">
        <x:v>1940.31</x:v>
      </x:c>
      <x:c r="C1425" s="18" t="n">
        <x:v>1970.5</x:v>
      </x:c>
      <x:c r="D1425" s="18" t="n">
        <x:v>1940.12</x:v>
      </x:c>
      <x:c r="E1425" s="18" t="n">
        <x:v>1965.44</x:v>
      </x:c>
      <x:c r="F1425" s="19" t="n">
        <x:v>120507</x:v>
      </x:c>
    </x:row>
    <x:row r="1426">
      <x:c r="A1426" s="17" t="n">
        <x:v>45086</x:v>
      </x:c>
      <x:c r="B1426" s="18" t="n">
        <x:v>1965.68</x:v>
      </x:c>
      <x:c r="C1426" s="18" t="n">
        <x:v>1973.1</x:v>
      </x:c>
      <x:c r="D1426" s="18" t="n">
        <x:v>1956.64</x:v>
      </x:c>
      <x:c r="E1426" s="18" t="n">
        <x:v>1960.46</x:v>
      </x:c>
      <x:c r="F1426" s="19" t="n">
        <x:v>102226</x:v>
      </x:c>
    </x:row>
    <x:row r="1427">
      <x:c r="A1427" s="17" t="n">
        <x:v>45089</x:v>
      </x:c>
      <x:c r="B1427" s="18" t="n">
        <x:v>1960.21</x:v>
      </x:c>
      <x:c r="C1427" s="18" t="n">
        <x:v>1966.97</x:v>
      </x:c>
      <x:c r="D1427" s="18" t="n">
        <x:v>1949.2</x:v>
      </x:c>
      <x:c r="E1427" s="18" t="n">
        <x:v>1957.34</x:v>
      </x:c>
      <x:c r="F1427" s="19" t="n">
        <x:v>117727</x:v>
      </x:c>
    </x:row>
    <x:row r="1428">
      <x:c r="A1428" s="17" t="n">
        <x:v>45090</x:v>
      </x:c>
      <x:c r="B1428" s="18" t="n">
        <x:v>1957</x:v>
      </x:c>
      <x:c r="C1428" s="18" t="n">
        <x:v>1971.13</x:v>
      </x:c>
      <x:c r="D1428" s="18" t="n">
        <x:v>1940.05</x:v>
      </x:c>
      <x:c r="E1428" s="18" t="n">
        <x:v>1943.44</x:v>
      </x:c>
      <x:c r="F1428" s="19" t="n">
        <x:v>127070</x:v>
      </x:c>
    </x:row>
    <x:row r="1429">
      <x:c r="A1429" s="17" t="n">
        <x:v>45091</x:v>
      </x:c>
      <x:c r="B1429" s="18" t="n">
        <x:v>1943.21</x:v>
      </x:c>
      <x:c r="C1429" s="18" t="n">
        <x:v>1960.27</x:v>
      </x:c>
      <x:c r="D1429" s="18" t="n">
        <x:v>1939.61</x:v>
      </x:c>
      <x:c r="E1429" s="18" t="n">
        <x:v>1941.74</x:v>
      </x:c>
      <x:c r="F1429" s="19" t="n">
        <x:v>124459</x:v>
      </x:c>
    </x:row>
    <x:row r="1430">
      <x:c r="A1430" s="17" t="n">
        <x:v>45092</x:v>
      </x:c>
      <x:c r="B1430" s="18" t="n">
        <x:v>1942.55</x:v>
      </x:c>
      <x:c r="C1430" s="18" t="n">
        <x:v>1960.26</x:v>
      </x:c>
      <x:c r="D1430" s="18" t="n">
        <x:v>1924.7</x:v>
      </x:c>
      <x:c r="E1430" s="18" t="n">
        <x:v>1957.96</x:v>
      </x:c>
      <x:c r="F1430" s="19" t="n">
        <x:v>143246</x:v>
      </x:c>
    </x:row>
    <x:row r="1431">
      <x:c r="A1431" s="17" t="n">
        <x:v>45093</x:v>
      </x:c>
      <x:c r="B1431" s="18" t="n">
        <x:v>1957.12</x:v>
      </x:c>
      <x:c r="C1431" s="18" t="n">
        <x:v>1967.93</x:v>
      </x:c>
      <x:c r="D1431" s="18" t="n">
        <x:v>1953.28</x:v>
      </x:c>
      <x:c r="E1431" s="18" t="n">
        <x:v>1957.51</x:v>
      </x:c>
      <x:c r="F1431" s="19" t="n">
        <x:v>121322</x:v>
      </x:c>
    </x:row>
    <x:row r="1432">
      <x:c r="A1432" s="17" t="n">
        <x:v>45096</x:v>
      </x:c>
      <x:c r="B1432" s="18" t="n">
        <x:v>1957.62</x:v>
      </x:c>
      <x:c r="C1432" s="18" t="n">
        <x:v>1958.76</x:v>
      </x:c>
      <x:c r="D1432" s="18" t="n">
        <x:v>1947.78</x:v>
      </x:c>
      <x:c r="E1432" s="18" t="n">
        <x:v>1950.48</x:v>
      </x:c>
      <x:c r="F1432" s="19" t="n">
        <x:v>64873</x:v>
      </x:c>
    </x:row>
    <x:row r="1433">
      <x:c r="A1433" s="17" t="n">
        <x:v>45097</x:v>
      </x:c>
      <x:c r="B1433" s="18" t="n">
        <x:v>1950.6</x:v>
      </x:c>
      <x:c r="C1433" s="18" t="n">
        <x:v>1956.79</x:v>
      </x:c>
      <x:c r="D1433" s="18" t="n">
        <x:v>1929.78</x:v>
      </x:c>
      <x:c r="E1433" s="18" t="n">
        <x:v>1936.08</x:v>
      </x:c>
      <x:c r="F1433" s="19" t="n">
        <x:v>125331</x:v>
      </x:c>
    </x:row>
    <x:row r="1434">
      <x:c r="A1434" s="17" t="n">
        <x:v>45098</x:v>
      </x:c>
      <x:c r="B1434" s="18" t="n">
        <x:v>1935.44</x:v>
      </x:c>
      <x:c r="C1434" s="18" t="n">
        <x:v>1939.45</x:v>
      </x:c>
      <x:c r="D1434" s="18" t="n">
        <x:v>1919.19</x:v>
      </x:c>
      <x:c r="E1434" s="18" t="n">
        <x:v>1932.43</x:v>
      </x:c>
      <x:c r="F1434" s="19" t="n">
        <x:v>117530</x:v>
      </x:c>
    </x:row>
    <x:row r="1435">
      <x:c r="A1435" s="17" t="n">
        <x:v>45099</x:v>
      </x:c>
      <x:c r="B1435" s="18" t="n">
        <x:v>1931.67</x:v>
      </x:c>
      <x:c r="C1435" s="18" t="n">
        <x:v>1934.82</x:v>
      </x:c>
      <x:c r="D1435" s="18" t="n">
        <x:v>1912.18</x:v>
      </x:c>
      <x:c r="E1435" s="18" t="n">
        <x:v>1913.64</x:v>
      </x:c>
      <x:c r="F1435" s="19" t="n">
        <x:v>112259</x:v>
      </x:c>
    </x:row>
    <x:row r="1436">
      <x:c r="A1436" s="17" t="n">
        <x:v>45100</x:v>
      </x:c>
      <x:c r="B1436" s="18" t="n">
        <x:v>1913.66</x:v>
      </x:c>
      <x:c r="C1436" s="18" t="n">
        <x:v>1937.47</x:v>
      </x:c>
      <x:c r="D1436" s="18" t="n">
        <x:v>1909.99</x:v>
      </x:c>
      <x:c r="E1436" s="18" t="n">
        <x:v>1920.53</x:v>
      </x:c>
      <x:c r="F1436" s="19" t="n">
        <x:v>117890</x:v>
      </x:c>
    </x:row>
    <x:row r="1437">
      <x:c r="A1437" s="17" t="n">
        <x:v>45103</x:v>
      </x:c>
      <x:c r="B1437" s="18" t="n">
        <x:v>1925.15</x:v>
      </x:c>
      <x:c r="C1437" s="18" t="n">
        <x:v>1933.36</x:v>
      </x:c>
      <x:c r="D1437" s="18" t="n">
        <x:v>1921.56</x:v>
      </x:c>
      <x:c r="E1437" s="18" t="n">
        <x:v>1923.14</x:v>
      </x:c>
      <x:c r="F1437" s="19" t="n">
        <x:v>124470</x:v>
      </x:c>
    </x:row>
    <x:row r="1438">
      <x:c r="A1438" s="17" t="n">
        <x:v>45104</x:v>
      </x:c>
      <x:c r="B1438" s="18" t="n">
        <x:v>1923.39</x:v>
      </x:c>
      <x:c r="C1438" s="18" t="n">
        <x:v>1930.69</x:v>
      </x:c>
      <x:c r="D1438" s="18" t="n">
        <x:v>1910.86</x:v>
      </x:c>
      <x:c r="E1438" s="18" t="n">
        <x:v>1913.62</x:v>
      </x:c>
      <x:c r="F1438" s="19" t="n">
        <x:v>145343</x:v>
      </x:c>
    </x:row>
    <x:row r="1439">
      <x:c r="A1439" s="17" t="n">
        <x:v>45105</x:v>
      </x:c>
      <x:c r="B1439" s="18" t="n">
        <x:v>1914.38</x:v>
      </x:c>
      <x:c r="C1439" s="18" t="n">
        <x:v>1917.14</x:v>
      </x:c>
      <x:c r="D1439" s="18" t="n">
        <x:v>1902.79</x:v>
      </x:c>
      <x:c r="E1439" s="18" t="n">
        <x:v>1907.28</x:v>
      </x:c>
      <x:c r="F1439" s="19" t="n">
        <x:v>132146</x:v>
      </x:c>
    </x:row>
    <x:row r="1440">
      <x:c r="A1440" s="17" t="n">
        <x:v>45106</x:v>
      </x:c>
      <x:c r="B1440" s="18" t="n">
        <x:v>1907.49</x:v>
      </x:c>
      <x:c r="C1440" s="18" t="n">
        <x:v>1913.13</x:v>
      </x:c>
      <x:c r="D1440" s="18" t="n">
        <x:v>1892.95</x:v>
      </x:c>
      <x:c r="E1440" s="18" t="n">
        <x:v>1908.25</x:v>
      </x:c>
      <x:c r="F1440" s="19" t="n">
        <x:v>158035</x:v>
      </x:c>
    </x:row>
    <x:row r="1441">
      <x:c r="A1441" s="17" t="n">
        <x:v>45107</x:v>
      </x:c>
      <x:c r="B1441" s="18" t="n">
        <x:v>1908.54</x:v>
      </x:c>
      <x:c r="C1441" s="18" t="n">
        <x:v>1922.8</x:v>
      </x:c>
      <x:c r="D1441" s="18" t="n">
        <x:v>1900.56</x:v>
      </x:c>
      <x:c r="E1441" s="18" t="n">
        <x:v>1919.17</x:v>
      </x:c>
      <x:c r="F1441" s="19" t="n">
        <x:v>152073</x:v>
      </x:c>
    </x:row>
    <x:row r="1442">
      <x:c r="A1442" s="17" t="n">
        <x:v>45110</x:v>
      </x:c>
      <x:c r="B1442" s="18" t="n">
        <x:v>1918.6</x:v>
      </x:c>
      <x:c r="C1442" s="18" t="n">
        <x:v>1930.98</x:v>
      </x:c>
      <x:c r="D1442" s="18" t="n">
        <x:v>1909.97</x:v>
      </x:c>
      <x:c r="E1442" s="18" t="n">
        <x:v>1921.48</x:v>
      </x:c>
      <x:c r="F1442" s="19" t="n">
        <x:v>117342</x:v>
      </x:c>
    </x:row>
    <x:row r="1443">
      <x:c r="A1443" s="17" t="n">
        <x:v>45111</x:v>
      </x:c>
      <x:c r="B1443" s="18" t="n">
        <x:v>1921.28</x:v>
      </x:c>
      <x:c r="C1443" s="18" t="n">
        <x:v>1930.75</x:v>
      </x:c>
      <x:c r="D1443" s="18" t="n">
        <x:v>1919.74</x:v>
      </x:c>
      <x:c r="E1443" s="18" t="n">
        <x:v>1925.89</x:v>
      </x:c>
      <x:c r="F1443" s="19" t="n">
        <x:v>59937</x:v>
      </x:c>
    </x:row>
    <x:row r="1444">
      <x:c r="A1444" s="17" t="n">
        <x:v>45112</x:v>
      </x:c>
      <x:c r="B1444" s="18" t="n">
        <x:v>1925.84</x:v>
      </x:c>
      <x:c r="C1444" s="18" t="n">
        <x:v>1935.05</x:v>
      </x:c>
      <x:c r="D1444" s="18" t="n">
        <x:v>1914.74</x:v>
      </x:c>
      <x:c r="E1444" s="18" t="n">
        <x:v>1915.21</x:v>
      </x:c>
      <x:c r="F1444" s="19" t="n">
        <x:v>137542</x:v>
      </x:c>
    </x:row>
    <x:row r="1445">
      <x:c r="A1445" s="17" t="n">
        <x:v>45113</x:v>
      </x:c>
      <x:c r="B1445" s="18" t="n">
        <x:v>1916.2</x:v>
      </x:c>
      <x:c r="C1445" s="18" t="n">
        <x:v>1927.59</x:v>
      </x:c>
      <x:c r="D1445" s="18" t="n">
        <x:v>1902.59</x:v>
      </x:c>
      <x:c r="E1445" s="18" t="n">
        <x:v>1910.93</x:v>
      </x:c>
      <x:c r="F1445" s="19" t="n">
        <x:v>154947</x:v>
      </x:c>
    </x:row>
    <x:row r="1446">
      <x:c r="A1446" s="17" t="n">
        <x:v>45114</x:v>
      </x:c>
      <x:c r="B1446" s="18" t="n">
        <x:v>1910.59</x:v>
      </x:c>
      <x:c r="C1446" s="18" t="n">
        <x:v>1934.97</x:v>
      </x:c>
      <x:c r="D1446" s="18" t="n">
        <x:v>1909.45</x:v>
      </x:c>
      <x:c r="E1446" s="18" t="n">
        <x:v>1925.31</x:v>
      </x:c>
      <x:c r="F1446" s="19" t="n">
        <x:v>155209</x:v>
      </x:c>
    </x:row>
    <x:row r="1447">
      <x:c r="A1447" s="17" t="n">
        <x:v>45117</x:v>
      </x:c>
      <x:c r="B1447" s="18" t="n">
        <x:v>1924.76</x:v>
      </x:c>
      <x:c r="C1447" s="18" t="n">
        <x:v>1928.06</x:v>
      </x:c>
      <x:c r="D1447" s="18" t="n">
        <x:v>1912.69</x:v>
      </x:c>
      <x:c r="E1447" s="18" t="n">
        <x:v>1925.28</x:v>
      </x:c>
      <x:c r="F1447" s="19" t="n">
        <x:v>130186</x:v>
      </x:c>
    </x:row>
    <x:row r="1448">
      <x:c r="A1448" s="17" t="n">
        <x:v>45118</x:v>
      </x:c>
      <x:c r="B1448" s="18" t="n">
        <x:v>1925.14</x:v>
      </x:c>
      <x:c r="C1448" s="18" t="n">
        <x:v>1938.47</x:v>
      </x:c>
      <x:c r="D1448" s="18" t="n">
        <x:v>1924.35</x:v>
      </x:c>
      <x:c r="E1448" s="18" t="n">
        <x:v>1932.09</x:v>
      </x:c>
      <x:c r="F1448" s="19" t="n">
        <x:v>140599</x:v>
      </x:c>
    </x:row>
    <x:row r="1449">
      <x:c r="A1449" s="17" t="n">
        <x:v>45119</x:v>
      </x:c>
      <x:c r="B1449" s="18" t="n">
        <x:v>1932.32</x:v>
      </x:c>
      <x:c r="C1449" s="18" t="n">
        <x:v>1959.7</x:v>
      </x:c>
      <x:c r="D1449" s="18" t="n">
        <x:v>1932.14</x:v>
      </x:c>
      <x:c r="E1449" s="18" t="n">
        <x:v>1957.35</x:v>
      </x:c>
      <x:c r="F1449" s="19" t="n">
        <x:v>169381</x:v>
      </x:c>
    </x:row>
    <x:row r="1450">
      <x:c r="A1450" s="17" t="n">
        <x:v>45120</x:v>
      </x:c>
      <x:c r="B1450" s="18" t="n">
        <x:v>1957.14</x:v>
      </x:c>
      <x:c r="C1450" s="18" t="n">
        <x:v>1963.65</x:v>
      </x:c>
      <x:c r="D1450" s="18" t="n">
        <x:v>1952.38</x:v>
      </x:c>
      <x:c r="E1450" s="18" t="n">
        <x:v>1960.39</x:v>
      </x:c>
      <x:c r="F1450" s="19" t="n">
        <x:v>174561</x:v>
      </x:c>
    </x:row>
    <x:row r="1451">
      <x:c r="A1451" s="17" t="n">
        <x:v>45121</x:v>
      </x:c>
      <x:c r="B1451" s="18" t="n">
        <x:v>1960.2</x:v>
      </x:c>
      <x:c r="C1451" s="18" t="n">
        <x:v>1963.78</x:v>
      </x:c>
      <x:c r="D1451" s="18" t="n">
        <x:v>1950.93</x:v>
      </x:c>
      <x:c r="E1451" s="18" t="n">
        <x:v>1955.45</x:v>
      </x:c>
      <x:c r="F1451" s="19" t="n">
        <x:v>155997</x:v>
      </x:c>
    </x:row>
    <x:row r="1452">
      <x:c r="A1452" s="17" t="n">
        <x:v>45124</x:v>
      </x:c>
      <x:c r="B1452" s="18" t="n">
        <x:v>1955.47</x:v>
      </x:c>
      <x:c r="C1452" s="18" t="n">
        <x:v>1959.85</x:v>
      </x:c>
      <x:c r="D1452" s="18" t="n">
        <x:v>1945.77</x:v>
      </x:c>
      <x:c r="E1452" s="18" t="n">
        <x:v>1954.92</x:v>
      </x:c>
      <x:c r="F1452" s="19" t="n">
        <x:v>122773</x:v>
      </x:c>
    </x:row>
    <x:row r="1453">
      <x:c r="A1453" s="17" t="n">
        <x:v>45125</x:v>
      </x:c>
      <x:c r="B1453" s="18" t="n">
        <x:v>1954.69</x:v>
      </x:c>
      <x:c r="C1453" s="18" t="n">
        <x:v>1984.36</x:v>
      </x:c>
      <x:c r="D1453" s="18" t="n">
        <x:v>1954.53</x:v>
      </x:c>
      <x:c r="E1453" s="18" t="n">
        <x:v>1978.73</x:v>
      </x:c>
      <x:c r="F1453" s="19" t="n">
        <x:v>167005</x:v>
      </x:c>
    </x:row>
    <x:row r="1454">
      <x:c r="A1454" s="17" t="n">
        <x:v>45126</x:v>
      </x:c>
      <x:c r="B1454" s="18" t="n">
        <x:v>1978.93</x:v>
      </x:c>
      <x:c r="C1454" s="18" t="n">
        <x:v>1980.93</x:v>
      </x:c>
      <x:c r="D1454" s="18" t="n">
        <x:v>1969.69</x:v>
      </x:c>
      <x:c r="E1454" s="18" t="n">
        <x:v>1976.97</x:v>
      </x:c>
      <x:c r="F1454" s="19" t="n">
        <x:v>139338</x:v>
      </x:c>
    </x:row>
    <x:row r="1455">
      <x:c r="A1455" s="17" t="n">
        <x:v>45127</x:v>
      </x:c>
      <x:c r="B1455" s="18" t="n">
        <x:v>1977.33</x:v>
      </x:c>
      <x:c r="C1455" s="18" t="n">
        <x:v>1987.43</x:v>
      </x:c>
      <x:c r="D1455" s="18" t="n">
        <x:v>1965.36</x:v>
      </x:c>
      <x:c r="E1455" s="18" t="n">
        <x:v>1969.5</x:v>
      </x:c>
      <x:c r="F1455" s="19" t="n">
        <x:v>150787</x:v>
      </x:c>
    </x:row>
    <x:row r="1456">
      <x:c r="A1456" s="17" t="n">
        <x:v>45128</x:v>
      </x:c>
      <x:c r="B1456" s="18" t="n">
        <x:v>1970.2</x:v>
      </x:c>
      <x:c r="C1456" s="18" t="n">
        <x:v>1973.8</x:v>
      </x:c>
      <x:c r="D1456" s="18" t="n">
        <x:v>1956.81</x:v>
      </x:c>
      <x:c r="E1456" s="18" t="n">
        <x:v>1961.84</x:v>
      </x:c>
      <x:c r="F1456" s="19" t="n">
        <x:v>131317</x:v>
      </x:c>
    </x:row>
    <x:row r="1457">
      <x:c r="A1457" s="17" t="n">
        <x:v>45131</x:v>
      </x:c>
      <x:c r="B1457" s="18" t="n">
        <x:v>1962.41</x:v>
      </x:c>
      <x:c r="C1457" s="18" t="n">
        <x:v>1967.88</x:v>
      </x:c>
      <x:c r="D1457" s="18" t="n">
        <x:v>1953.47</x:v>
      </x:c>
      <x:c r="E1457" s="18" t="n">
        <x:v>1954.87</x:v>
      </x:c>
      <x:c r="F1457" s="19" t="n">
        <x:v>128955</x:v>
      </x:c>
    </x:row>
    <x:row r="1458">
      <x:c r="A1458" s="17" t="n">
        <x:v>45132</x:v>
      </x:c>
      <x:c r="B1458" s="18" t="n">
        <x:v>1955.2</x:v>
      </x:c>
      <x:c r="C1458" s="18" t="n">
        <x:v>1965.69</x:v>
      </x:c>
      <x:c r="D1458" s="18" t="n">
        <x:v>1951.74</x:v>
      </x:c>
      <x:c r="E1458" s="18" t="n">
        <x:v>1964.85</x:v>
      </x:c>
      <x:c r="F1458" s="19" t="n">
        <x:v>115002</x:v>
      </x:c>
    </x:row>
    <x:row r="1459">
      <x:c r="A1459" s="17" t="n">
        <x:v>45133</x:v>
      </x:c>
      <x:c r="B1459" s="18" t="n">
        <x:v>1964.93</x:v>
      </x:c>
      <x:c r="C1459" s="18" t="n">
        <x:v>1978.32</x:v>
      </x:c>
      <x:c r="D1459" s="18" t="n">
        <x:v>1962</x:v>
      </x:c>
      <x:c r="E1459" s="18" t="n">
        <x:v>1972.27</x:v>
      </x:c>
      <x:c r="F1459" s="19" t="n">
        <x:v>151452</x:v>
      </x:c>
    </x:row>
    <x:row r="1460">
      <x:c r="A1460" s="17" t="n">
        <x:v>45134</x:v>
      </x:c>
      <x:c r="B1460" s="18" t="n">
        <x:v>1971.43</x:v>
      </x:c>
      <x:c r="C1460" s="18" t="n">
        <x:v>1982.23</x:v>
      </x:c>
      <x:c r="D1460" s="18" t="n">
        <x:v>1942.57</x:v>
      </x:c>
      <x:c r="E1460" s="18" t="n">
        <x:v>1945.52</x:v>
      </x:c>
      <x:c r="F1460" s="19" t="n">
        <x:v>171566</x:v>
      </x:c>
    </x:row>
    <x:row r="1461">
      <x:c r="A1461" s="17" t="n">
        <x:v>45135</x:v>
      </x:c>
      <x:c r="B1461" s="18" t="n">
        <x:v>1946.81</x:v>
      </x:c>
      <x:c r="C1461" s="18" t="n">
        <x:v>1963.56</x:v>
      </x:c>
      <x:c r="D1461" s="18" t="n">
        <x:v>1945.35</x:v>
      </x:c>
      <x:c r="E1461" s="18" t="n">
        <x:v>1959.15</x:v>
      </x:c>
      <x:c r="F1461" s="19" t="n">
        <x:v>161272</x:v>
      </x:c>
    </x:row>
    <x:row r="1462">
      <x:c r="A1462" s="17" t="n">
        <x:v>45138</x:v>
      </x:c>
      <x:c r="B1462" s="18" t="n">
        <x:v>1959.58</x:v>
      </x:c>
      <x:c r="C1462" s="18" t="n">
        <x:v>1972.39</x:v>
      </x:c>
      <x:c r="D1462" s="18" t="n">
        <x:v>1950.87</x:v>
      </x:c>
      <x:c r="E1462" s="18" t="n">
        <x:v>1965.52</x:v>
      </x:c>
      <x:c r="F1462" s="19" t="n">
        <x:v>124338</x:v>
      </x:c>
    </x:row>
    <x:row r="1463">
      <x:c r="A1463" s="17" t="n">
        <x:v>45139</x:v>
      </x:c>
      <x:c r="B1463" s="18" t="n">
        <x:v>1965.68</x:v>
      </x:c>
      <x:c r="C1463" s="18" t="n">
        <x:v>1965.98</x:v>
      </x:c>
      <x:c r="D1463" s="18" t="n">
        <x:v>1941.26</x:v>
      </x:c>
      <x:c r="E1463" s="18" t="n">
        <x:v>1944.19</x:v>
      </x:c>
      <x:c r="F1463" s="19" t="n">
        <x:v>137730</x:v>
      </x:c>
    </x:row>
    <x:row r="1464">
      <x:c r="A1464" s="17" t="n">
        <x:v>45140</x:v>
      </x:c>
      <x:c r="B1464" s="18" t="n">
        <x:v>1949.98</x:v>
      </x:c>
      <x:c r="C1464" s="18" t="n">
        <x:v>1954.84</x:v>
      </x:c>
      <x:c r="D1464" s="18" t="n">
        <x:v>1932.94</x:v>
      </x:c>
      <x:c r="E1464" s="18" t="n">
        <x:v>1934.87</x:v>
      </x:c>
      <x:c r="F1464" s="19" t="n">
        <x:v>138045</x:v>
      </x:c>
    </x:row>
    <x:row r="1465">
      <x:c r="A1465" s="17" t="n">
        <x:v>45141</x:v>
      </x:c>
      <x:c r="B1465" s="18" t="n">
        <x:v>1935.38</x:v>
      </x:c>
      <x:c r="C1465" s="18" t="n">
        <x:v>1938.88</x:v>
      </x:c>
      <x:c r="D1465" s="18" t="n">
        <x:v>1929.51</x:v>
      </x:c>
      <x:c r="E1465" s="18" t="n">
        <x:v>1933.98</x:v>
      </x:c>
      <x:c r="F1465" s="19" t="n">
        <x:v>143999</x:v>
      </x:c>
    </x:row>
    <x:row r="1466">
      <x:c r="A1466" s="17" t="n">
        <x:v>45142</x:v>
      </x:c>
      <x:c r="B1466" s="18" t="n">
        <x:v>1934.62</x:v>
      </x:c>
      <x:c r="C1466" s="18" t="n">
        <x:v>1946.95</x:v>
      </x:c>
      <x:c r="D1466" s="18" t="n">
        <x:v>1925.53</x:v>
      </x:c>
      <x:c r="E1466" s="18" t="n">
        <x:v>1942.65</x:v>
      </x:c>
      <x:c r="F1466" s="19" t="n">
        <x:v>131485</x:v>
      </x:c>
    </x:row>
    <x:row r="1467">
      <x:c r="A1467" s="17" t="n">
        <x:v>45145</x:v>
      </x:c>
      <x:c r="B1467" s="18" t="n">
        <x:v>1942.75</x:v>
      </x:c>
      <x:c r="C1467" s="18" t="n">
        <x:v>1946.72</x:v>
      </x:c>
      <x:c r="D1467" s="18" t="n">
        <x:v>1931.53</x:v>
      </x:c>
      <x:c r="E1467" s="18" t="n">
        <x:v>1936.52</x:v>
      </x:c>
      <x:c r="F1467" s="19" t="n">
        <x:v>84513</x:v>
      </x:c>
    </x:row>
    <x:row r="1468">
      <x:c r="A1468" s="17" t="n">
        <x:v>45146</x:v>
      </x:c>
      <x:c r="B1468" s="18" t="n">
        <x:v>1936.21</x:v>
      </x:c>
      <x:c r="C1468" s="18" t="n">
        <x:v>1938.06</x:v>
      </x:c>
      <x:c r="D1468" s="18" t="n">
        <x:v>1922.73</x:v>
      </x:c>
      <x:c r="E1468" s="18" t="n">
        <x:v>1925.22</x:v>
      </x:c>
      <x:c r="F1468" s="19" t="n">
        <x:v>117058</x:v>
      </x:c>
    </x:row>
    <x:row r="1469">
      <x:c r="A1469" s="17" t="n">
        <x:v>45147</x:v>
      </x:c>
      <x:c r="B1469" s="18" t="n">
        <x:v>1925.02</x:v>
      </x:c>
      <x:c r="C1469" s="18" t="n">
        <x:v>1932.34</x:v>
      </x:c>
      <x:c r="D1469" s="18" t="n">
        <x:v>1913.98</x:v>
      </x:c>
      <x:c r="E1469" s="18" t="n">
        <x:v>1914.7</x:v>
      </x:c>
      <x:c r="F1469" s="19" t="n">
        <x:v>104727</x:v>
      </x:c>
    </x:row>
    <x:row r="1470">
      <x:c r="A1470" s="17" t="n">
        <x:v>45148</x:v>
      </x:c>
      <x:c r="B1470" s="18" t="n">
        <x:v>1914.71</x:v>
      </x:c>
      <x:c r="C1470" s="18" t="n">
        <x:v>1930.14</x:v>
      </x:c>
      <x:c r="D1470" s="18" t="n">
        <x:v>1912.1</x:v>
      </x:c>
      <x:c r="E1470" s="18" t="n">
        <x:v>1912.33</x:v>
      </x:c>
      <x:c r="F1470" s="19" t="n">
        <x:v>138980</x:v>
      </x:c>
    </x:row>
    <x:row r="1471">
      <x:c r="A1471" s="17" t="n">
        <x:v>45149</x:v>
      </x:c>
      <x:c r="B1471" s="18" t="n">
        <x:v>1912.57</x:v>
      </x:c>
      <x:c r="C1471" s="18" t="n">
        <x:v>1920.95</x:v>
      </x:c>
      <x:c r="D1471" s="18" t="n">
        <x:v>1910.77</x:v>
      </x:c>
      <x:c r="E1471" s="18" t="n">
        <x:v>1913.62</x:v>
      </x:c>
      <x:c r="F1471" s="19" t="n">
        <x:v>106435</x:v>
      </x:c>
    </x:row>
    <x:row r="1472">
      <x:c r="A1472" s="17" t="n">
        <x:v>45152</x:v>
      </x:c>
      <x:c r="B1472" s="18" t="n">
        <x:v>1913.35</x:v>
      </x:c>
      <x:c r="C1472" s="18" t="n">
        <x:v>1916.24</x:v>
      </x:c>
      <x:c r="D1472" s="18" t="n">
        <x:v>1902.69</x:v>
      </x:c>
      <x:c r="E1472" s="18" t="n">
        <x:v>1907.42</x:v>
      </x:c>
      <x:c r="F1472" s="19" t="n">
        <x:v>110592</x:v>
      </x:c>
    </x:row>
    <x:row r="1473">
      <x:c r="A1473" s="17" t="n">
        <x:v>45153</x:v>
      </x:c>
      <x:c r="B1473" s="18" t="n">
        <x:v>1907.17</x:v>
      </x:c>
      <x:c r="C1473" s="18" t="n">
        <x:v>1911.65</x:v>
      </x:c>
      <x:c r="D1473" s="18" t="n">
        <x:v>1896.35</x:v>
      </x:c>
      <x:c r="E1473" s="18" t="n">
        <x:v>1901.85</x:v>
      </x:c>
      <x:c r="F1473" s="19" t="n">
        <x:v>149099</x:v>
      </x:c>
    </x:row>
    <x:row r="1474">
      <x:c r="A1474" s="17" t="n">
        <x:v>45154</x:v>
      </x:c>
      <x:c r="B1474" s="18" t="n">
        <x:v>1901.65</x:v>
      </x:c>
      <x:c r="C1474" s="18" t="n">
        <x:v>1907.22</x:v>
      </x:c>
      <x:c r="D1474" s="18" t="n">
        <x:v>1891.85</x:v>
      </x:c>
      <x:c r="E1474" s="18" t="n">
        <x:v>1891.92</x:v>
      </x:c>
      <x:c r="F1474" s="19" t="n">
        <x:v>115345</x:v>
      </x:c>
    </x:row>
    <x:row r="1475">
      <x:c r="A1475" s="17" t="n">
        <x:v>45155</x:v>
      </x:c>
      <x:c r="B1475" s="18" t="n">
        <x:v>1892.05</x:v>
      </x:c>
      <x:c r="C1475" s="18" t="n">
        <x:v>1903.49</x:v>
      </x:c>
      <x:c r="D1475" s="18" t="n">
        <x:v>1885.04</x:v>
      </x:c>
      <x:c r="E1475" s="18" t="n">
        <x:v>1889.33</x:v>
      </x:c>
      <x:c r="F1475" s="19" t="n">
        <x:v>132708</x:v>
      </x:c>
    </x:row>
    <x:row r="1476">
      <x:c r="A1476" s="17" t="n">
        <x:v>45156</x:v>
      </x:c>
      <x:c r="B1476" s="18" t="n">
        <x:v>1889.45</x:v>
      </x:c>
      <x:c r="C1476" s="18" t="n">
        <x:v>1896.91</x:v>
      </x:c>
      <x:c r="D1476" s="18" t="n">
        <x:v>1886.76</x:v>
      </x:c>
      <x:c r="E1476" s="18" t="n">
        <x:v>1889.37</x:v>
      </x:c>
      <x:c r="F1476" s="19" t="n">
        <x:v>109839</x:v>
      </x:c>
    </x:row>
    <x:row r="1477">
      <x:c r="A1477" s="17" t="n">
        <x:v>45159</x:v>
      </x:c>
      <x:c r="B1477" s="18" t="n">
        <x:v>1889.66</x:v>
      </x:c>
      <x:c r="C1477" s="18" t="n">
        <x:v>1898.78</x:v>
      </x:c>
      <x:c r="D1477" s="18" t="n">
        <x:v>1884.81</x:v>
      </x:c>
      <x:c r="E1477" s="18" t="n">
        <x:v>1894.67</x:v>
      </x:c>
      <x:c r="F1477" s="19" t="n">
        <x:v>124492</x:v>
      </x:c>
    </x:row>
    <x:row r="1478">
      <x:c r="A1478" s="17" t="n">
        <x:v>45160</x:v>
      </x:c>
      <x:c r="B1478" s="18" t="n">
        <x:v>1894.68</x:v>
      </x:c>
      <x:c r="C1478" s="18" t="n">
        <x:v>1904.53</x:v>
      </x:c>
      <x:c r="D1478" s="18" t="n">
        <x:v>1889.11</x:v>
      </x:c>
      <x:c r="E1478" s="18" t="n">
        <x:v>1897.38</x:v>
      </x:c>
      <x:c r="F1478" s="19" t="n">
        <x:v>111168</x:v>
      </x:c>
    </x:row>
    <x:row r="1479">
      <x:c r="A1479" s="17" t="n">
        <x:v>45161</x:v>
      </x:c>
      <x:c r="B1479" s="18" t="n">
        <x:v>1897.19</x:v>
      </x:c>
      <x:c r="C1479" s="18" t="n">
        <x:v>1920.38</x:v>
      </x:c>
      <x:c r="D1479" s="18" t="n">
        <x:v>1897.18</x:v>
      </x:c>
      <x:c r="E1479" s="18" t="n">
        <x:v>1915.38</x:v>
      </x:c>
      <x:c r="F1479" s="19" t="n">
        <x:v>130444</x:v>
      </x:c>
    </x:row>
    <x:row r="1480">
      <x:c r="A1480" s="17" t="n">
        <x:v>45162</x:v>
      </x:c>
      <x:c r="B1480" s="18" t="n">
        <x:v>1915.38</x:v>
      </x:c>
      <x:c r="C1480" s="18" t="n">
        <x:v>1923.4</x:v>
      </x:c>
      <x:c r="D1480" s="18" t="n">
        <x:v>1911.77</x:v>
      </x:c>
      <x:c r="E1480" s="18" t="n">
        <x:v>1916.69</x:v>
      </x:c>
      <x:c r="F1480" s="19" t="n">
        <x:v>123400</x:v>
      </x:c>
    </x:row>
    <x:row r="1481">
      <x:c r="A1481" s="17" t="n">
        <x:v>45163</x:v>
      </x:c>
      <x:c r="B1481" s="18" t="n">
        <x:v>1917.05</x:v>
      </x:c>
      <x:c r="C1481" s="18" t="n">
        <x:v>1922.45</x:v>
      </x:c>
      <x:c r="D1481" s="18" t="n">
        <x:v>1903.78</x:v>
      </x:c>
      <x:c r="E1481" s="18" t="n">
        <x:v>1914.21</x:v>
      </x:c>
      <x:c r="F1481" s="19" t="n">
        <x:v>132875</x:v>
      </x:c>
    </x:row>
    <x:row r="1482">
      <x:c r="A1482" s="17" t="n">
        <x:v>45166</x:v>
      </x:c>
      <x:c r="B1482" s="18" t="n">
        <x:v>1914.86</x:v>
      </x:c>
      <x:c r="C1482" s="18" t="n">
        <x:v>1926.07</x:v>
      </x:c>
      <x:c r="D1482" s="18" t="n">
        <x:v>1912.77</x:v>
      </x:c>
      <x:c r="E1482" s="18" t="n">
        <x:v>1920.06</x:v>
      </x:c>
      <x:c r="F1482" s="19" t="n">
        <x:v>88149</x:v>
      </x:c>
    </x:row>
    <x:row r="1483">
      <x:c r="A1483" s="17" t="n">
        <x:v>45167</x:v>
      </x:c>
      <x:c r="B1483" s="18" t="n">
        <x:v>1919.96</x:v>
      </x:c>
      <x:c r="C1483" s="18" t="n">
        <x:v>1938.2</x:v>
      </x:c>
      <x:c r="D1483" s="18" t="n">
        <x:v>1914.44</x:v>
      </x:c>
      <x:c r="E1483" s="18" t="n">
        <x:v>1937.32</x:v>
      </x:c>
      <x:c r="F1483" s="19" t="n">
        <x:v>126706</x:v>
      </x:c>
    </x:row>
    <x:row r="1484">
      <x:c r="A1484" s="17" t="n">
        <x:v>45168</x:v>
      </x:c>
      <x:c r="B1484" s="18" t="n">
        <x:v>1937.3</x:v>
      </x:c>
      <x:c r="C1484" s="18" t="n">
        <x:v>1949.07</x:v>
      </x:c>
      <x:c r="D1484" s="18" t="n">
        <x:v>1934.95</x:v>
      </x:c>
      <x:c r="E1484" s="18" t="n">
        <x:v>1942.42</x:v>
      </x:c>
      <x:c r="F1484" s="19" t="n">
        <x:v>120052</x:v>
      </x:c>
    </x:row>
    <x:row r="1485">
      <x:c r="A1485" s="17" t="n">
        <x:v>45169</x:v>
      </x:c>
      <x:c r="B1485" s="18" t="n">
        <x:v>1942.6</x:v>
      </x:c>
      <x:c r="C1485" s="18" t="n">
        <x:v>1947.91</x:v>
      </x:c>
      <x:c r="D1485" s="18" t="n">
        <x:v>1939.01</x:v>
      </x:c>
      <x:c r="E1485" s="18" t="n">
        <x:v>1940.06</x:v>
      </x:c>
      <x:c r="F1485" s="19" t="n">
        <x:v>92454</x:v>
      </x:c>
    </x:row>
    <x:row r="1486">
      <x:c r="A1486" s="17" t="n">
        <x:v>45170</x:v>
      </x:c>
      <x:c r="B1486" s="18" t="n">
        <x:v>1940.01</x:v>
      </x:c>
      <x:c r="C1486" s="18" t="n">
        <x:v>1953.02</x:v>
      </x:c>
      <x:c r="D1486" s="18" t="n">
        <x:v>1934.4</x:v>
      </x:c>
      <x:c r="E1486" s="18" t="n">
        <x:v>1939.85</x:v>
      </x:c>
      <x:c r="F1486" s="19" t="n">
        <x:v>138713</x:v>
      </x:c>
    </x:row>
    <x:row r="1487">
      <x:c r="A1487" s="17" t="n">
        <x:v>45173</x:v>
      </x:c>
      <x:c r="B1487" s="18" t="n">
        <x:v>1940.41</x:v>
      </x:c>
      <x:c r="C1487" s="18" t="n">
        <x:v>1946.28</x:v>
      </x:c>
      <x:c r="D1487" s="18" t="n">
        <x:v>1936.79</x:v>
      </x:c>
      <x:c r="E1487" s="18" t="n">
        <x:v>1938.47</x:v>
      </x:c>
      <x:c r="F1487" s="19" t="n">
        <x:v>44777</x:v>
      </x:c>
    </x:row>
    <x:row r="1488">
      <x:c r="A1488" s="17" t="n">
        <x:v>45174</x:v>
      </x:c>
      <x:c r="B1488" s="18" t="n">
        <x:v>1938.41</x:v>
      </x:c>
      <x:c r="C1488" s="18" t="n">
        <x:v>1938.99</x:v>
      </x:c>
      <x:c r="D1488" s="18" t="n">
        <x:v>1925.36</x:v>
      </x:c>
      <x:c r="E1488" s="18" t="n">
        <x:v>1925.97</x:v>
      </x:c>
      <x:c r="F1488" s="19" t="n">
        <x:v>112965</x:v>
      </x:c>
    </x:row>
    <x:row r="1489">
      <x:c r="A1489" s="17" t="n">
        <x:v>45175</x:v>
      </x:c>
      <x:c r="B1489" s="18" t="n">
        <x:v>1926.11</x:v>
      </x:c>
      <x:c r="C1489" s="18" t="n">
        <x:v>1929.19</x:v>
      </x:c>
      <x:c r="D1489" s="18" t="n">
        <x:v>1915.31</x:v>
      </x:c>
      <x:c r="E1489" s="18" t="n">
        <x:v>1916.42</x:v>
      </x:c>
      <x:c r="F1489" s="19" t="n">
        <x:v>117181</x:v>
      </x:c>
    </x:row>
    <x:row r="1490">
      <x:c r="A1490" s="17" t="n">
        <x:v>45176</x:v>
      </x:c>
      <x:c r="B1490" s="18" t="n">
        <x:v>1917.07</x:v>
      </x:c>
      <x:c r="C1490" s="18" t="n">
        <x:v>1923.58</x:v>
      </x:c>
      <x:c r="D1490" s="18" t="n">
        <x:v>1916.25</x:v>
      </x:c>
      <x:c r="E1490" s="18" t="n">
        <x:v>1919.62</x:v>
      </x:c>
      <x:c r="F1490" s="19" t="n">
        <x:v>98719</x:v>
      </x:c>
    </x:row>
    <x:row r="1491">
      <x:c r="A1491" s="17" t="n">
        <x:v>45177</x:v>
      </x:c>
      <x:c r="B1491" s="18" t="n">
        <x:v>1919.61</x:v>
      </x:c>
      <x:c r="C1491" s="18" t="n">
        <x:v>1929.7</x:v>
      </x:c>
      <x:c r="D1491" s="18" t="n">
        <x:v>1917.35</x:v>
      </x:c>
      <x:c r="E1491" s="18" t="n">
        <x:v>1919.13</x:v>
      </x:c>
      <x:c r="F1491" s="19" t="n">
        <x:v>98258</x:v>
      </x:c>
    </x:row>
    <x:row r="1492">
      <x:c r="A1492" s="17" t="n">
        <x:v>45180</x:v>
      </x:c>
      <x:c r="B1492" s="18" t="n">
        <x:v>1920.36</x:v>
      </x:c>
      <x:c r="C1492" s="18" t="n">
        <x:v>1930.77</x:v>
      </x:c>
      <x:c r="D1492" s="18" t="n">
        <x:v>1916.47</x:v>
      </x:c>
      <x:c r="E1492" s="18" t="n">
        <x:v>1922.33</x:v>
      </x:c>
      <x:c r="F1492" s="19" t="n">
        <x:v>101764</x:v>
      </x:c>
    </x:row>
    <x:row r="1493">
      <x:c r="A1493" s="17" t="n">
        <x:v>45181</x:v>
      </x:c>
      <x:c r="B1493" s="18" t="n">
        <x:v>1922.77</x:v>
      </x:c>
      <x:c r="C1493" s="18" t="n">
        <x:v>1924.48</x:v>
      </x:c>
      <x:c r="D1493" s="18" t="n">
        <x:v>1907.59</x:v>
      </x:c>
      <x:c r="E1493" s="18" t="n">
        <x:v>1913.34</x:v>
      </x:c>
      <x:c r="F1493" s="19" t="n">
        <x:v>103458</x:v>
      </x:c>
    </x:row>
    <x:row r="1494">
      <x:c r="A1494" s="17" t="n">
        <x:v>45182</x:v>
      </x:c>
      <x:c r="B1494" s="18" t="n">
        <x:v>1913.23</x:v>
      </x:c>
      <x:c r="C1494" s="18" t="n">
        <x:v>1915.77</x:v>
      </x:c>
      <x:c r="D1494" s="18" t="n">
        <x:v>1905.51</x:v>
      </x:c>
      <x:c r="E1494" s="18" t="n">
        <x:v>1908.15</x:v>
      </x:c>
      <x:c r="F1494" s="19" t="n">
        <x:v>127183</x:v>
      </x:c>
    </x:row>
    <x:row r="1495">
      <x:c r="A1495" s="17" t="n">
        <x:v>45183</x:v>
      </x:c>
      <x:c r="B1495" s="18" t="n">
        <x:v>1908.72</x:v>
      </x:c>
      <x:c r="C1495" s="18" t="n">
        <x:v>1912.91</x:v>
      </x:c>
      <x:c r="D1495" s="18" t="n">
        <x:v>1901.02</x:v>
      </x:c>
      <x:c r="E1495" s="18" t="n">
        <x:v>1910.51</x:v>
      </x:c>
      <x:c r="F1495" s="19" t="n">
        <x:v>148428</x:v>
      </x:c>
    </x:row>
    <x:row r="1496">
      <x:c r="A1496" s="17" t="n">
        <x:v>45184</x:v>
      </x:c>
      <x:c r="B1496" s="18" t="n">
        <x:v>1910.89</x:v>
      </x:c>
      <x:c r="C1496" s="18" t="n">
        <x:v>1930.43</x:v>
      </x:c>
      <x:c r="D1496" s="18" t="n">
        <x:v>1909.71</x:v>
      </x:c>
      <x:c r="E1496" s="18" t="n">
        <x:v>1923.68</x:v>
      </x:c>
      <x:c r="F1496" s="19" t="n">
        <x:v>122561</x:v>
      </x:c>
    </x:row>
    <x:row r="1497">
      <x:c r="A1497" s="17" t="n">
        <x:v>45187</x:v>
      </x:c>
      <x:c r="B1497" s="18" t="n">
        <x:v>1923.42</x:v>
      </x:c>
      <x:c r="C1497" s="18" t="n">
        <x:v>1934.23</x:v>
      </x:c>
      <x:c r="D1497" s="18" t="n">
        <x:v>1922.52</x:v>
      </x:c>
      <x:c r="E1497" s="18" t="n">
        <x:v>1933.61</x:v>
      </x:c>
      <x:c r="F1497" s="19" t="n">
        <x:v>98507</x:v>
      </x:c>
    </x:row>
    <x:row r="1498">
      <x:c r="A1498" s="17" t="n">
        <x:v>45188</x:v>
      </x:c>
      <x:c r="B1498" s="18" t="n">
        <x:v>1933.54</x:v>
      </x:c>
      <x:c r="C1498" s="18" t="n">
        <x:v>1937.41</x:v>
      </x:c>
      <x:c r="D1498" s="18" t="n">
        <x:v>1929.75</x:v>
      </x:c>
      <x:c r="E1498" s="18" t="n">
        <x:v>1931.34</x:v>
      </x:c>
      <x:c r="F1498" s="19" t="n">
        <x:v>87297</x:v>
      </x:c>
    </x:row>
    <x:row r="1499">
      <x:c r="A1499" s="17" t="n">
        <x:v>45189</x:v>
      </x:c>
      <x:c r="B1499" s="18" t="n">
        <x:v>1931.67</x:v>
      </x:c>
      <x:c r="C1499" s="18" t="n">
        <x:v>1947.42</x:v>
      </x:c>
      <x:c r="D1499" s="18" t="n">
        <x:v>1927.95</x:v>
      </x:c>
      <x:c r="E1499" s="18" t="n">
        <x:v>1930.36</x:v>
      </x:c>
      <x:c r="F1499" s="19" t="n">
        <x:v>136227</x:v>
      </x:c>
    </x:row>
    <x:row r="1500">
      <x:c r="A1500" s="17" t="n">
        <x:v>45190</x:v>
      </x:c>
      <x:c r="B1500" s="18" t="n">
        <x:v>1930.34</x:v>
      </x:c>
      <x:c r="C1500" s="18" t="n">
        <x:v>1931.6</x:v>
      </x:c>
      <x:c r="D1500" s="18" t="n">
        <x:v>1913.9</x:v>
      </x:c>
      <x:c r="E1500" s="18" t="n">
        <x:v>1919.94</x:v>
      </x:c>
      <x:c r="F1500" s="19" t="n">
        <x:v>143289</x:v>
      </x:c>
    </x:row>
    <x:row r="1501">
      <x:c r="A1501" s="17" t="n">
        <x:v>45191</x:v>
      </x:c>
      <x:c r="B1501" s="18" t="n">
        <x:v>1919.87</x:v>
      </x:c>
      <x:c r="C1501" s="18" t="n">
        <x:v>1929.12</x:v>
      </x:c>
      <x:c r="D1501" s="18" t="n">
        <x:v>1919.58</x:v>
      </x:c>
      <x:c r="E1501" s="18" t="n">
        <x:v>1925.25</x:v>
      </x:c>
      <x:c r="F1501" s="19" t="n">
        <x:v>96528</x:v>
      </x:c>
    </x:row>
    <x:row r="1502">
      <x:c r="A1502" s="17" t="n">
        <x:v>45194</x:v>
      </x:c>
      <x:c r="B1502" s="18" t="n">
        <x:v>1925.07</x:v>
      </x:c>
      <x:c r="C1502" s="18" t="n">
        <x:v>1927.22</x:v>
      </x:c>
      <x:c r="D1502" s="18" t="n">
        <x:v>1915.11</x:v>
      </x:c>
      <x:c r="E1502" s="18" t="n">
        <x:v>1915.78</x:v>
      </x:c>
      <x:c r="F1502" s="19" t="n">
        <x:v>87820</x:v>
      </x:c>
    </x:row>
    <x:row r="1503">
      <x:c r="A1503" s="17" t="n">
        <x:v>45195</x:v>
      </x:c>
      <x:c r="B1503" s="18" t="n">
        <x:v>1916.16</x:v>
      </x:c>
      <x:c r="C1503" s="18" t="n">
        <x:v>1916.81</x:v>
      </x:c>
      <x:c r="D1503" s="18" t="n">
        <x:v>1899.12</x:v>
      </x:c>
      <x:c r="E1503" s="18" t="n">
        <x:v>1900.58</x:v>
      </x:c>
      <x:c r="F1503" s="19" t="n">
        <x:v>98343</x:v>
      </x:c>
    </x:row>
    <x:row r="1504">
      <x:c r="A1504" s="17" t="n">
        <x:v>45196</x:v>
      </x:c>
      <x:c r="B1504" s="18" t="n">
        <x:v>1900.58</x:v>
      </x:c>
      <x:c r="C1504" s="18" t="n">
        <x:v>1903.92</x:v>
      </x:c>
      <x:c r="D1504" s="18" t="n">
        <x:v>1872.55</x:v>
      </x:c>
      <x:c r="E1504" s="18" t="n">
        <x:v>1874.99</x:v>
      </x:c>
      <x:c r="F1504" s="19" t="n">
        <x:v>115520</x:v>
      </x:c>
    </x:row>
    <x:row r="1505">
      <x:c r="A1505" s="17" t="n">
        <x:v>45197</x:v>
      </x:c>
      <x:c r="B1505" s="18" t="n">
        <x:v>1876.14</x:v>
      </x:c>
      <x:c r="C1505" s="18" t="n">
        <x:v>1879.58</x:v>
      </x:c>
      <x:c r="D1505" s="18" t="n">
        <x:v>1857.66</x:v>
      </x:c>
      <x:c r="E1505" s="18" t="n">
        <x:v>1864.8</x:v>
      </x:c>
      <x:c r="F1505" s="19" t="n">
        <x:v>147185</x:v>
      </x:c>
    </x:row>
    <x:row r="1506">
      <x:c r="A1506" s="17" t="n">
        <x:v>45198</x:v>
      </x:c>
      <x:c r="B1506" s="18" t="n">
        <x:v>1865.15</x:v>
      </x:c>
      <x:c r="C1506" s="18" t="n">
        <x:v>1879.88</x:v>
      </x:c>
      <x:c r="D1506" s="18" t="n">
        <x:v>1846.33</x:v>
      </x:c>
      <x:c r="E1506" s="18" t="n">
        <x:v>1848.74</x:v>
      </x:c>
      <x:c r="F1506" s="19" t="n">
        <x:v>147432</x:v>
      </x:c>
    </x:row>
    <x:row r="1507">
      <x:c r="A1507" s="17" t="n">
        <x:v>45201</x:v>
      </x:c>
      <x:c r="B1507" s="18" t="n">
        <x:v>1846.45</x:v>
      </x:c>
      <x:c r="C1507" s="18" t="n">
        <x:v>1848.93</x:v>
      </x:c>
      <x:c r="D1507" s="18" t="n">
        <x:v>1827.14</x:v>
      </x:c>
      <x:c r="E1507" s="18" t="n">
        <x:v>1827.77</x:v>
      </x:c>
      <x:c r="F1507" s="19" t="n">
        <x:v>154232</x:v>
      </x:c>
    </x:row>
    <x:row r="1508">
      <x:c r="A1508" s="17" t="n">
        <x:v>45202</x:v>
      </x:c>
      <x:c r="B1508" s="18" t="n">
        <x:v>1828.97</x:v>
      </x:c>
      <x:c r="C1508" s="18" t="n">
        <x:v>1833.38</x:v>
      </x:c>
      <x:c r="D1508" s="18" t="n">
        <x:v>1815.25</x:v>
      </x:c>
      <x:c r="E1508" s="18" t="n">
        <x:v>1822.94</x:v>
      </x:c>
      <x:c r="F1508" s="19" t="n">
        <x:v>192166</x:v>
      </x:c>
    </x:row>
    <x:row r="1509">
      <x:c r="A1509" s="17" t="n">
        <x:v>45203</x:v>
      </x:c>
      <x:c r="B1509" s="18" t="n">
        <x:v>1823.35</x:v>
      </x:c>
      <x:c r="C1509" s="18" t="n">
        <x:v>1830.79</x:v>
      </x:c>
      <x:c r="D1509" s="18" t="n">
        <x:v>1816.58</x:v>
      </x:c>
      <x:c r="E1509" s="18" t="n">
        <x:v>1821.1</x:v>
      </x:c>
      <x:c r="F1509" s="19" t="n">
        <x:v>181931</x:v>
      </x:c>
    </x:row>
    <x:row r="1510">
      <x:c r="A1510" s="17" t="n">
        <x:v>45204</x:v>
      </x:c>
      <x:c r="B1510" s="18" t="n">
        <x:v>1821.26</x:v>
      </x:c>
      <x:c r="C1510" s="18" t="n">
        <x:v>1829.2</x:v>
      </x:c>
      <x:c r="D1510" s="18" t="n">
        <x:v>1813.01</x:v>
      </x:c>
      <x:c r="E1510" s="18" t="n">
        <x:v>1820.24</x:v>
      </x:c>
      <x:c r="F1510" s="19" t="n">
        <x:v>163563</x:v>
      </x:c>
    </x:row>
    <x:row r="1511">
      <x:c r="A1511" s="17" t="n">
        <x:v>45205</x:v>
      </x:c>
      <x:c r="B1511" s="18" t="n">
        <x:v>1820.41</x:v>
      </x:c>
      <x:c r="C1511" s="18" t="n">
        <x:v>1834.9</x:v>
      </x:c>
      <x:c r="D1511" s="18" t="n">
        <x:v>1810.47</x:v>
      </x:c>
      <x:c r="E1511" s="18" t="n">
        <x:v>1831.84</x:v>
      </x:c>
      <x:c r="F1511" s="19" t="n">
        <x:v>200926</x:v>
      </x:c>
    </x:row>
    <x:row r="1512">
      <x:c r="A1512" s="17" t="n">
        <x:v>45208</x:v>
      </x:c>
      <x:c r="B1512" s="18" t="n">
        <x:v>1847.52</x:v>
      </x:c>
      <x:c r="C1512" s="18" t="n">
        <x:v>1863.49</x:v>
      </x:c>
      <x:c r="D1512" s="18" t="n">
        <x:v>1844.23</x:v>
      </x:c>
      <x:c r="E1512" s="18" t="n">
        <x:v>1861.35</x:v>
      </x:c>
      <x:c r="F1512" s="19" t="n">
        <x:v>155242</x:v>
      </x:c>
    </x:row>
    <x:row r="1513">
      <x:c r="A1513" s="17" t="n">
        <x:v>45209</x:v>
      </x:c>
      <x:c r="B1513" s="18" t="n">
        <x:v>1861.18</x:v>
      </x:c>
      <x:c r="C1513" s="18" t="n">
        <x:v>1865.37</x:v>
      </x:c>
      <x:c r="D1513" s="18" t="n">
        <x:v>1853</x:v>
      </x:c>
      <x:c r="E1513" s="18" t="n">
        <x:v>1860.42</x:v>
      </x:c>
      <x:c r="F1513" s="19" t="n">
        <x:v>204264</x:v>
      </x:c>
    </x:row>
    <x:row r="1514">
      <x:c r="A1514" s="17" t="n">
        <x:v>45210</x:v>
      </x:c>
      <x:c r="B1514" s="18" t="n">
        <x:v>1859.96</x:v>
      </x:c>
      <x:c r="C1514" s="18" t="n">
        <x:v>1877.2</x:v>
      </x:c>
      <x:c r="D1514" s="18" t="n">
        <x:v>1858.61</x:v>
      </x:c>
      <x:c r="E1514" s="18" t="n">
        <x:v>1874.27</x:v>
      </x:c>
      <x:c r="F1514" s="19" t="n">
        <x:v>193115</x:v>
      </x:c>
    </x:row>
    <x:row r="1515">
      <x:c r="A1515" s="17" t="n">
        <x:v>45211</x:v>
      </x:c>
      <x:c r="B1515" s="18" t="n">
        <x:v>1874.63</x:v>
      </x:c>
      <x:c r="C1515" s="18" t="n">
        <x:v>1885.12</x:v>
      </x:c>
      <x:c r="D1515" s="18" t="n">
        <x:v>1867.91</x:v>
      </x:c>
      <x:c r="E1515" s="18" t="n">
        <x:v>1868.73</x:v>
      </x:c>
      <x:c r="F1515" s="19" t="n">
        <x:v>190851</x:v>
      </x:c>
    </x:row>
    <x:row r="1516">
      <x:c r="A1516" s="17" t="n">
        <x:v>45212</x:v>
      </x:c>
      <x:c r="B1516" s="18" t="n">
        <x:v>1869.07</x:v>
      </x:c>
      <x:c r="C1516" s="18" t="n">
        <x:v>1932.41</x:v>
      </x:c>
      <x:c r="D1516" s="18" t="n">
        <x:v>1868.94</x:v>
      </x:c>
      <x:c r="E1516" s="18" t="n">
        <x:v>1932.41</x:v>
      </x:c>
      <x:c r="F1516" s="19" t="n">
        <x:v>213189</x:v>
      </x:c>
    </x:row>
    <x:row r="1517">
      <x:c r="A1517" s="17" t="n">
        <x:v>45215</x:v>
      </x:c>
      <x:c r="B1517" s="18" t="n">
        <x:v>1925.94</x:v>
      </x:c>
      <x:c r="C1517" s="18" t="n">
        <x:v>1927.68</x:v>
      </x:c>
      <x:c r="D1517" s="18" t="n">
        <x:v>1908.2</x:v>
      </x:c>
      <x:c r="E1517" s="18" t="n">
        <x:v>1920.06</x:v>
      </x:c>
      <x:c r="F1517" s="19" t="n">
        <x:v>158254</x:v>
      </x:c>
    </x:row>
    <x:row r="1518">
      <x:c r="A1518" s="17" t="n">
        <x:v>45216</x:v>
      </x:c>
      <x:c r="B1518" s="18" t="n">
        <x:v>1919.98</x:v>
      </x:c>
      <x:c r="C1518" s="18" t="n">
        <x:v>1931.57</x:v>
      </x:c>
      <x:c r="D1518" s="18" t="n">
        <x:v>1912.41</x:v>
      </x:c>
      <x:c r="E1518" s="18" t="n">
        <x:v>1923.05</x:v>
      </x:c>
      <x:c r="F1518" s="19" t="n">
        <x:v>161186</x:v>
      </x:c>
    </x:row>
    <x:row r="1519">
      <x:c r="A1519" s="17" t="n">
        <x:v>45217</x:v>
      </x:c>
      <x:c r="B1519" s="18" t="n">
        <x:v>1923.91</x:v>
      </x:c>
      <x:c r="C1519" s="18" t="n">
        <x:v>1962.67</x:v>
      </x:c>
      <x:c r="D1519" s="18" t="n">
        <x:v>1923.28</x:v>
      </x:c>
      <x:c r="E1519" s="18" t="n">
        <x:v>1947.62</x:v>
      </x:c>
      <x:c r="F1519" s="19" t="n">
        <x:v>189497</x:v>
      </x:c>
    </x:row>
    <x:row r="1520">
      <x:c r="A1520" s="17" t="n">
        <x:v>45218</x:v>
      </x:c>
      <x:c r="B1520" s="18" t="n">
        <x:v>1947.76</x:v>
      </x:c>
      <x:c r="C1520" s="18" t="n">
        <x:v>1977.73</x:v>
      </x:c>
      <x:c r="D1520" s="18" t="n">
        <x:v>1945.25</x:v>
      </x:c>
      <x:c r="E1520" s="18" t="n">
        <x:v>1974.28</x:v>
      </x:c>
      <x:c r="F1520" s="19" t="n">
        <x:v>207173</x:v>
      </x:c>
    </x:row>
    <x:row r="1521">
      <x:c r="A1521" s="17" t="n">
        <x:v>45219</x:v>
      </x:c>
      <x:c r="B1521" s="18" t="n">
        <x:v>1973.4</x:v>
      </x:c>
      <x:c r="C1521" s="18" t="n">
        <x:v>1997.21</x:v>
      </x:c>
      <x:c r="D1521" s="18" t="n">
        <x:v>1972.04</x:v>
      </x:c>
      <x:c r="E1521" s="18" t="n">
        <x:v>1980.9</x:v>
      </x:c>
      <x:c r="F1521" s="19" t="n">
        <x:v>198269</x:v>
      </x:c>
    </x:row>
    <x:row r="1522">
      <x:c r="A1522" s="17" t="n">
        <x:v>45222</x:v>
      </x:c>
      <x:c r="B1522" s="18" t="n">
        <x:v>1968.07</x:v>
      </x:c>
      <x:c r="C1522" s="18" t="n">
        <x:v>1982.81</x:v>
      </x:c>
      <x:c r="D1522" s="18" t="n">
        <x:v>1964.38</x:v>
      </x:c>
      <x:c r="E1522" s="18" t="n">
        <x:v>1972.74</x:v>
      </x:c>
      <x:c r="F1522" s="19" t="n">
        <x:v>173905</x:v>
      </x:c>
    </x:row>
    <x:row r="1523">
      <x:c r="A1523" s="17" t="n">
        <x:v>45223</x:v>
      </x:c>
      <x:c r="B1523" s="18" t="n">
        <x:v>1973.1</x:v>
      </x:c>
      <x:c r="C1523" s="18" t="n">
        <x:v>1980.87</x:v>
      </x:c>
      <x:c r="D1523" s="18" t="n">
        <x:v>1953.49</x:v>
      </x:c>
      <x:c r="E1523" s="18" t="n">
        <x:v>1971.03</x:v>
      </x:c>
      <x:c r="F1523" s="19" t="n">
        <x:v>169310</x:v>
      </x:c>
    </x:row>
    <x:row r="1524">
      <x:c r="A1524" s="17" t="n">
        <x:v>45224</x:v>
      </x:c>
      <x:c r="B1524" s="18" t="n">
        <x:v>1970.88</x:v>
      </x:c>
      <x:c r="C1524" s="18" t="n">
        <x:v>1987.28</x:v>
      </x:c>
      <x:c r="D1524" s="18" t="n">
        <x:v>1962.96</x:v>
      </x:c>
      <x:c r="E1524" s="18" t="n">
        <x:v>1979.45</x:v>
      </x:c>
      <x:c r="F1524" s="19" t="n">
        <x:v>162589</x:v>
      </x:c>
    </x:row>
    <x:row r="1525">
      <x:c r="A1525" s="17" t="n">
        <x:v>45225</x:v>
      </x:c>
      <x:c r="B1525" s="18" t="n">
        <x:v>1980.76</x:v>
      </x:c>
      <x:c r="C1525" s="18" t="n">
        <x:v>1993.44</x:v>
      </x:c>
      <x:c r="D1525" s="18" t="n">
        <x:v>1971.63</x:v>
      </x:c>
      <x:c r="E1525" s="18" t="n">
        <x:v>1984.73</x:v>
      </x:c>
      <x:c r="F1525" s="19" t="n">
        <x:v>190268</x:v>
      </x:c>
    </x:row>
    <x:row r="1526">
      <x:c r="A1526" s="17" t="n">
        <x:v>45226</x:v>
      </x:c>
      <x:c r="B1526" s="18" t="n">
        <x:v>1984.49</x:v>
      </x:c>
      <x:c r="C1526" s="18" t="n">
        <x:v>2009.47</x:v>
      </x:c>
      <x:c r="D1526" s="18" t="n">
        <x:v>1976.78</x:v>
      </x:c>
      <x:c r="E1526" s="18" t="n">
        <x:v>2005.91</x:v>
      </x:c>
      <x:c r="F1526" s="19" t="n">
        <x:v>179975</x:v>
      </x:c>
    </x:row>
    <x:row r="1527">
      <x:c r="A1527" s="17" t="n">
        <x:v>45229</x:v>
      </x:c>
      <x:c r="B1527" s="18" t="n">
        <x:v>2004.9</x:v>
      </x:c>
      <x:c r="C1527" s="18" t="n">
        <x:v>2006.74</x:v>
      </x:c>
      <x:c r="D1527" s="18" t="n">
        <x:v>1990.96</x:v>
      </x:c>
      <x:c r="E1527" s="18" t="n">
        <x:v>1996.15</x:v>
      </x:c>
      <x:c r="F1527" s="19" t="n">
        <x:v>161808</x:v>
      </x:c>
    </x:row>
    <x:row r="1528">
      <x:c r="A1528" s="17" t="n">
        <x:v>45230</x:v>
      </x:c>
      <x:c r="B1528" s="18" t="n">
        <x:v>1995.67</x:v>
      </x:c>
      <x:c r="C1528" s="18" t="n">
        <x:v>2007.93</x:v>
      </x:c>
      <x:c r="D1528" s="18" t="n">
        <x:v>1978.88</x:v>
      </x:c>
      <x:c r="E1528" s="18" t="n">
        <x:v>1983.97</x:v>
      </x:c>
      <x:c r="F1528" s="19" t="n">
        <x:v>176258</x:v>
      </x:c>
    </x:row>
    <x:row r="1529">
      <x:c r="A1529" s="17" t="n">
        <x:v>45231</x:v>
      </x:c>
      <x:c r="B1529" s="18" t="n">
        <x:v>1983.46</x:v>
      </x:c>
      <x:c r="C1529" s="18" t="n">
        <x:v>1992.03</x:v>
      </x:c>
      <x:c r="D1529" s="18" t="n">
        <x:v>1969.88</x:v>
      </x:c>
      <x:c r="E1529" s="18" t="n">
        <x:v>1982.67</x:v>
      </x:c>
      <x:c r="F1529" s="19" t="n">
        <x:v>184940</x:v>
      </x:c>
    </x:row>
    <x:row r="1530">
      <x:c r="A1530" s="17" t="n">
        <x:v>45232</x:v>
      </x:c>
      <x:c r="B1530" s="18" t="n">
        <x:v>1983.42</x:v>
      </x:c>
      <x:c r="C1530" s="18" t="n">
        <x:v>1991.08</x:v>
      </x:c>
      <x:c r="D1530" s="18" t="n">
        <x:v>1978.84</x:v>
      </x:c>
      <x:c r="E1530" s="18" t="n">
        <x:v>1985.77</x:v>
      </x:c>
      <x:c r="F1530" s="19" t="n">
        <x:v>153635</x:v>
      </x:c>
    </x:row>
    <x:row r="1531">
      <x:c r="A1531" s="17" t="n">
        <x:v>45233</x:v>
      </x:c>
      <x:c r="B1531" s="18" t="n">
        <x:v>1985.89</x:v>
      </x:c>
      <x:c r="C1531" s="18" t="n">
        <x:v>2004.11</x:v>
      </x:c>
      <x:c r="D1531" s="18" t="n">
        <x:v>1983.17</x:v>
      </x:c>
      <x:c r="E1531" s="18" t="n">
        <x:v>1992.52</x:v>
      </x:c>
      <x:c r="F1531" s="19" t="n">
        <x:v>188442</x:v>
      </x:c>
    </x:row>
    <x:row r="1532">
      <x:c r="A1532" s="17" t="n">
        <x:v>45236</x:v>
      </x:c>
      <x:c r="B1532" s="18" t="n">
        <x:v>1992.43</x:v>
      </x:c>
      <x:c r="C1532" s="18" t="n">
        <x:v>1993.16</x:v>
      </x:c>
      <x:c r="D1532" s="18" t="n">
        <x:v>1977.42</x:v>
      </x:c>
      <x:c r="E1532" s="18" t="n">
        <x:v>1977.82</x:v>
      </x:c>
      <x:c r="F1532" s="19" t="n">
        <x:v>141325</x:v>
      </x:c>
    </x:row>
    <x:row r="1533">
      <x:c r="A1533" s="17" t="n">
        <x:v>45237</x:v>
      </x:c>
      <x:c r="B1533" s="18" t="n">
        <x:v>1977.93</x:v>
      </x:c>
      <x:c r="C1533" s="18" t="n">
        <x:v>1978.34</x:v>
      </x:c>
      <x:c r="D1533" s="18" t="n">
        <x:v>1956.71</x:v>
      </x:c>
      <x:c r="E1533" s="18" t="n">
        <x:v>1969.03</x:v>
      </x:c>
      <x:c r="F1533" s="19" t="n">
        <x:v>160213</x:v>
      </x:c>
    </x:row>
    <x:row r="1534">
      <x:c r="A1534" s="17" t="n">
        <x:v>45238</x:v>
      </x:c>
      <x:c r="B1534" s="18" t="n">
        <x:v>1968.67</x:v>
      </x:c>
      <x:c r="C1534" s="18" t="n">
        <x:v>1971.04</x:v>
      </x:c>
      <x:c r="D1534" s="18" t="n">
        <x:v>1947.44</x:v>
      </x:c>
      <x:c r="E1534" s="18" t="n">
        <x:v>1950.2</x:v>
      </x:c>
      <x:c r="F1534" s="19" t="n">
        <x:v>153457</x:v>
      </x:c>
    </x:row>
    <x:row r="1535">
      <x:c r="A1535" s="17" t="n">
        <x:v>45239</x:v>
      </x:c>
      <x:c r="B1535" s="18" t="n">
        <x:v>1949.95</x:v>
      </x:c>
      <x:c r="C1535" s="18" t="n">
        <x:v>1965.64</x:v>
      </x:c>
      <x:c r="D1535" s="18" t="n">
        <x:v>1944.51</x:v>
      </x:c>
      <x:c r="E1535" s="18" t="n">
        <x:v>1958.41</x:v>
      </x:c>
      <x:c r="F1535" s="19" t="n">
        <x:v>174088</x:v>
      </x:c>
    </x:row>
    <x:row r="1536">
      <x:c r="A1536" s="17" t="n">
        <x:v>45240</x:v>
      </x:c>
      <x:c r="B1536" s="18" t="n">
        <x:v>1958.42</x:v>
      </x:c>
      <x:c r="C1536" s="18" t="n">
        <x:v>1960.81</x:v>
      </x:c>
      <x:c r="D1536" s="18" t="n">
        <x:v>1933.06</x:v>
      </x:c>
      <x:c r="E1536" s="18" t="n">
        <x:v>1938.62</x:v>
      </x:c>
      <x:c r="F1536" s="19" t="n">
        <x:v>159481</x:v>
      </x:c>
    </x:row>
    <x:row r="1537">
      <x:c r="A1537" s="17" t="n">
        <x:v>45243</x:v>
      </x:c>
      <x:c r="B1537" s="18" t="n">
        <x:v>1938.42</x:v>
      </x:c>
      <x:c r="C1537" s="18" t="n">
        <x:v>1949.22</x:v>
      </x:c>
      <x:c r="D1537" s="18" t="n">
        <x:v>1931.6</x:v>
      </x:c>
      <x:c r="E1537" s="18" t="n">
        <x:v>1946.1</x:v>
      </x:c>
      <x:c r="F1537" s="19" t="n">
        <x:v>127010</x:v>
      </x:c>
    </x:row>
    <x:row r="1538">
      <x:c r="A1538" s="17" t="n">
        <x:v>45244</x:v>
      </x:c>
      <x:c r="B1538" s="18" t="n">
        <x:v>1946.1</x:v>
      </x:c>
      <x:c r="C1538" s="18" t="n">
        <x:v>1970.87</x:v>
      </x:c>
      <x:c r="D1538" s="18" t="n">
        <x:v>1943.76</x:v>
      </x:c>
      <x:c r="E1538" s="18" t="n">
        <x:v>1963.16</x:v>
      </x:c>
      <x:c r="F1538" s="19" t="n">
        <x:v>138881</x:v>
      </x:c>
    </x:row>
    <x:row r="1539">
      <x:c r="A1539" s="17" t="n">
        <x:v>45245</x:v>
      </x:c>
      <x:c r="B1539" s="18" t="n">
        <x:v>1962.79</x:v>
      </x:c>
      <x:c r="C1539" s="18" t="n">
        <x:v>1975.34</x:v>
      </x:c>
      <x:c r="D1539" s="18" t="n">
        <x:v>1955.37</x:v>
      </x:c>
      <x:c r="E1539" s="18" t="n">
        <x:v>1959.19</x:v>
      </x:c>
      <x:c r="F1539" s="19" t="n">
        <x:v>142869</x:v>
      </x:c>
    </x:row>
    <x:row r="1540">
      <x:c r="A1540" s="17" t="n">
        <x:v>45246</x:v>
      </x:c>
      <x:c r="B1540" s="18" t="n">
        <x:v>1960.04</x:v>
      </x:c>
      <x:c r="C1540" s="18" t="n">
        <x:v>1987.91</x:v>
      </x:c>
      <x:c r="D1540" s="18" t="n">
        <x:v>1956.41</x:v>
      </x:c>
      <x:c r="E1540" s="18" t="n">
        <x:v>1981.1</x:v>
      </x:c>
      <x:c r="F1540" s="19" t="n">
        <x:v>132847</x:v>
      </x:c>
    </x:row>
    <x:row r="1541">
      <x:c r="A1541" s="17" t="n">
        <x:v>45247</x:v>
      </x:c>
      <x:c r="B1541" s="18" t="n">
        <x:v>1980.89</x:v>
      </x:c>
      <x:c r="C1541" s="18" t="n">
        <x:v>1993.36</x:v>
      </x:c>
      <x:c r="D1541" s="18" t="n">
        <x:v>1978.53</x:v>
      </x:c>
      <x:c r="E1541" s="18" t="n">
        <x:v>1980.56</x:v>
      </x:c>
      <x:c r="F1541" s="19" t="n">
        <x:v>132680</x:v>
      </x:c>
    </x:row>
    <x:row r="1542">
      <x:c r="A1542" s="17" t="n">
        <x:v>45250</x:v>
      </x:c>
      <x:c r="B1542" s="18" t="n">
        <x:v>1978.11</x:v>
      </x:c>
      <x:c r="C1542" s="18" t="n">
        <x:v>1985.15</x:v>
      </x:c>
      <x:c r="D1542" s="18" t="n">
        <x:v>1965.4</x:v>
      </x:c>
      <x:c r="E1542" s="18" t="n">
        <x:v>1977.65</x:v>
      </x:c>
      <x:c r="F1542" s="19" t="n">
        <x:v>148166</x:v>
      </x:c>
    </x:row>
    <x:row r="1543">
      <x:c r="A1543" s="17" t="n">
        <x:v>45251</x:v>
      </x:c>
      <x:c r="B1543" s="18" t="n">
        <x:v>1977.92</x:v>
      </x:c>
      <x:c r="C1543" s="18" t="n">
        <x:v>2007.53</x:v>
      </x:c>
      <x:c r="D1543" s="18" t="n">
        <x:v>1977.8</x:v>
      </x:c>
      <x:c r="E1543" s="18" t="n">
        <x:v>1998.26</x:v>
      </x:c>
      <x:c r="F1543" s="19" t="n">
        <x:v>164705</x:v>
      </x:c>
    </x:row>
    <x:row r="1544">
      <x:c r="A1544" s="17" t="n">
        <x:v>45252</x:v>
      </x:c>
      <x:c r="B1544" s="18" t="n">
        <x:v>1998.61</x:v>
      </x:c>
      <x:c r="C1544" s="18" t="n">
        <x:v>2006.43</x:v>
      </x:c>
      <x:c r="D1544" s="18" t="n">
        <x:v>1986.86</x:v>
      </x:c>
      <x:c r="E1544" s="18" t="n">
        <x:v>1989.81</x:v>
      </x:c>
      <x:c r="F1544" s="19" t="n">
        <x:v>144702</x:v>
      </x:c>
    </x:row>
    <x:row r="1545">
      <x:c r="A1545" s="17" t="n">
        <x:v>45253</x:v>
      </x:c>
      <x:c r="B1545" s="18" t="n">
        <x:v>1989.2</x:v>
      </x:c>
      <x:c r="C1545" s="18" t="n">
        <x:v>1998.52</x:v>
      </x:c>
      <x:c r="D1545" s="18" t="n">
        <x:v>1989.18</x:v>
      </x:c>
      <x:c r="E1545" s="18" t="n">
        <x:v>1992.78</x:v>
      </x:c>
      <x:c r="F1545" s="19" t="n">
        <x:v>39966</x:v>
      </x:c>
    </x:row>
    <x:row r="1546">
      <x:c r="A1546" s="17" t="n">
        <x:v>45254</x:v>
      </x:c>
      <x:c r="B1546" s="18" t="n">
        <x:v>1992.95</x:v>
      </x:c>
      <x:c r="C1546" s="18" t="n">
        <x:v>2003.58</x:v>
      </x:c>
      <x:c r="D1546" s="18" t="n">
        <x:v>1991.45</x:v>
      </x:c>
      <x:c r="E1546" s="18" t="n">
        <x:v>2002.33</x:v>
      </x:c>
      <x:c r="F1546" s="19" t="n">
        <x:v>54053</x:v>
      </x:c>
    </x:row>
    <x:row r="1547">
      <x:c r="A1547" s="17" t="n">
        <x:v>45257</x:v>
      </x:c>
      <x:c r="B1547" s="18" t="n">
        <x:v>2002.12</x:v>
      </x:c>
      <x:c r="C1547" s="18" t="n">
        <x:v>2018.12</x:v>
      </x:c>
      <x:c r="D1547" s="18" t="n">
        <x:v>2000.38</x:v>
      </x:c>
      <x:c r="E1547" s="18" t="n">
        <x:v>2014.18</x:v>
      </x:c>
      <x:c r="F1547" s="19" t="n">
        <x:v>79287</x:v>
      </x:c>
    </x:row>
    <x:row r="1548">
      <x:c r="A1548" s="17" t="n">
        <x:v>45258</x:v>
      </x:c>
      <x:c r="B1548" s="18" t="n">
        <x:v>2013.84</x:v>
      </x:c>
      <x:c r="C1548" s="18" t="n">
        <x:v>2042.98</x:v>
      </x:c>
      <x:c r="D1548" s="18" t="n">
        <x:v>2011.49</x:v>
      </x:c>
      <x:c r="E1548" s="18" t="n">
        <x:v>2041.07</x:v>
      </x:c>
      <x:c r="F1548" s="19" t="n">
        <x:v>76325</x:v>
      </x:c>
    </x:row>
    <x:row r="1549">
      <x:c r="A1549" s="17" t="n">
        <x:v>45259</x:v>
      </x:c>
      <x:c r="B1549" s="18" t="n">
        <x:v>2041.36</x:v>
      </x:c>
      <x:c r="C1549" s="18" t="n">
        <x:v>2051.99</x:v>
      </x:c>
      <x:c r="D1549" s="18" t="n">
        <x:v>2035.42</x:v>
      </x:c>
      <x:c r="E1549" s="18" t="n">
        <x:v>2044.12</x:v>
      </x:c>
      <x:c r="F1549" s="19" t="n">
        <x:v>91534</x:v>
      </x:c>
    </x:row>
    <x:row r="1550">
      <x:c r="A1550" s="17" t="n">
        <x:v>45260</x:v>
      </x:c>
      <x:c r="B1550" s="18" t="n">
        <x:v>2044.56</x:v>
      </x:c>
      <x:c r="C1550" s="18" t="n">
        <x:v>2047.25</x:v>
      </x:c>
      <x:c r="D1550" s="18" t="n">
        <x:v>2031.01</x:v>
      </x:c>
      <x:c r="E1550" s="18" t="n">
        <x:v>2036.09</x:v>
      </x:c>
      <x:c r="F1550" s="19" t="n">
        <x:v>85621</x:v>
      </x:c>
    </x:row>
    <x:row r="1551">
      <x:c r="A1551" s="17" t="n">
        <x:v>45261</x:v>
      </x:c>
      <x:c r="B1551" s="18" t="n">
        <x:v>2036.83</x:v>
      </x:c>
      <x:c r="C1551" s="18" t="n">
        <x:v>2075.36</x:v>
      </x:c>
      <x:c r="D1551" s="18" t="n">
        <x:v>2033.91</x:v>
      </x:c>
      <x:c r="E1551" s="18" t="n">
        <x:v>2071.63</x:v>
      </x:c>
      <x:c r="F1551" s="19" t="n">
        <x:v>65040</x:v>
      </x:c>
    </x:row>
    <x:row r="1552">
      <x:c r="A1552" s="17" t="n">
        <x:v>45264</x:v>
      </x:c>
      <x:c r="B1552" s="18" t="n">
        <x:v>2072.6</x:v>
      </x:c>
      <x:c r="C1552" s="18" t="n">
        <x:v>2144.77</x:v>
      </x:c>
      <x:c r="D1552" s="18" t="n">
        <x:v>2020.13</x:v>
      </x:c>
      <x:c r="E1552" s="18" t="n">
        <x:v>2028.89</x:v>
      </x:c>
      <x:c r="F1552" s="19" t="n">
        <x:v>85241</x:v>
      </x:c>
    </x:row>
    <x:row r="1553">
      <x:c r="A1553" s="17" t="n">
        <x:v>45265</x:v>
      </x:c>
      <x:c r="B1553" s="18" t="n">
        <x:v>2030.21</x:v>
      </x:c>
      <x:c r="C1553" s="18" t="n">
        <x:v>2041.17</x:v>
      </x:c>
      <x:c r="D1553" s="18" t="n">
        <x:v>2009.8</x:v>
      </x:c>
      <x:c r="E1553" s="18" t="n">
        <x:v>2019.36</x:v>
      </x:c>
      <x:c r="F1553" s="19" t="n">
        <x:v>74914</x:v>
      </x:c>
    </x:row>
    <x:row r="1554">
      <x:c r="A1554" s="17" t="n">
        <x:v>45266</x:v>
      </x:c>
      <x:c r="B1554" s="18" t="n">
        <x:v>2019.91</x:v>
      </x:c>
      <x:c r="C1554" s="18" t="n">
        <x:v>2035.86</x:v>
      </x:c>
      <x:c r="D1554" s="18" t="n">
        <x:v>2017.21</x:v>
      </x:c>
      <x:c r="E1554" s="18" t="n">
        <x:v>2025.26</x:v>
      </x:c>
      <x:c r="F1554" s="19" t="n">
        <x:v>64498</x:v>
      </x:c>
    </x:row>
    <x:row r="1555">
      <x:c r="A1555" s="17" t="n">
        <x:v>45267</x:v>
      </x:c>
      <x:c r="B1555" s="18" t="n">
        <x:v>2026.3</x:v>
      </x:c>
      <x:c r="C1555" s="18" t="n">
        <x:v>2039.94</x:v>
      </x:c>
      <x:c r="D1555" s="18" t="n">
        <x:v>2020.18</x:v>
      </x:c>
      <x:c r="E1555" s="18" t="n">
        <x:v>2028.54</x:v>
      </x:c>
      <x:c r="F1555" s="19" t="n">
        <x:v>64039</x:v>
      </x:c>
    </x:row>
    <x:row r="1556">
      <x:c r="A1556" s="17" t="n">
        <x:v>45268</x:v>
      </x:c>
      <x:c r="B1556" s="18" t="n">
        <x:v>2028.51</x:v>
      </x:c>
      <x:c r="C1556" s="18" t="n">
        <x:v>2033.98</x:v>
      </x:c>
      <x:c r="D1556" s="18" t="n">
        <x:v>1994.58</x:v>
      </x:c>
      <x:c r="E1556" s="18" t="n">
        <x:v>2004.04</x:v>
      </x:c>
      <x:c r="F1556" s="19" t="n">
        <x:v>68116</x:v>
      </x:c>
    </x:row>
    <x:row r="1557">
      <x:c r="A1557" s="17" t="n">
        <x:v>45271</x:v>
      </x:c>
      <x:c r="B1557" s="18" t="n">
        <x:v>2005.36</x:v>
      </x:c>
      <x:c r="C1557" s="18" t="n">
        <x:v>2007.71</x:v>
      </x:c>
      <x:c r="D1557" s="18" t="n">
        <x:v>1975.78</x:v>
      </x:c>
      <x:c r="E1557" s="18" t="n">
        <x:v>1981.69</x:v>
      </x:c>
      <x:c r="F1557" s="19" t="n">
        <x:v>60603</x:v>
      </x:c>
    </x:row>
    <x:row r="1558">
      <x:c r="A1558" s="17" t="n">
        <x:v>45272</x:v>
      </x:c>
      <x:c r="B1558" s="18" t="n">
        <x:v>1982</x:v>
      </x:c>
      <x:c r="C1558" s="18" t="n">
        <x:v>1996.68</x:v>
      </x:c>
      <x:c r="D1558" s="18" t="n">
        <x:v>1977.21</x:v>
      </x:c>
      <x:c r="E1558" s="18" t="n">
        <x:v>1979.3</x:v>
      </x:c>
      <x:c r="F1558" s="19" t="n">
        <x:v>50962</x:v>
      </x:c>
    </x:row>
    <x:row r="1559">
      <x:c r="A1559" s="17" t="n">
        <x:v>45273</x:v>
      </x:c>
      <x:c r="B1559" s="18" t="n">
        <x:v>1980.1</x:v>
      </x:c>
      <x:c r="C1559" s="18" t="n">
        <x:v>2027.79</x:v>
      </x:c>
      <x:c r="D1559" s="18" t="n">
        <x:v>1973</x:v>
      </x:c>
      <x:c r="E1559" s="18" t="n">
        <x:v>2027.23</x:v>
      </x:c>
      <x:c r="F1559" s="19" t="n">
        <x:v>56900</x:v>
      </x:c>
    </x:row>
    <x:row r="1560">
      <x:c r="A1560" s="17" t="n">
        <x:v>45274</x:v>
      </x:c>
      <x:c r="B1560" s="18" t="n">
        <x:v>2025.48</x:v>
      </x:c>
      <x:c r="C1560" s="18" t="n">
        <x:v>2047.9</x:v>
      </x:c>
      <x:c r="D1560" s="18" t="n">
        <x:v>2024.35</x:v>
      </x:c>
      <x:c r="E1560" s="18" t="n">
        <x:v>2036.2</x:v>
      </x:c>
      <x:c r="F1560" s="19" t="n">
        <x:v>75085</x:v>
      </x:c>
    </x:row>
    <x:row r="1561">
      <x:c r="A1561" s="17" t="n">
        <x:v>45275</x:v>
      </x:c>
      <x:c r="B1561" s="18" t="n">
        <x:v>2036.28</x:v>
      </x:c>
      <x:c r="C1561" s="18" t="n">
        <x:v>2044.95</x:v>
      </x:c>
      <x:c r="D1561" s="18" t="n">
        <x:v>2015.48</x:v>
      </x:c>
      <x:c r="E1561" s="18" t="n">
        <x:v>2019.02</x:v>
      </x:c>
      <x:c r="F1561" s="19" t="n">
        <x:v>340007</x:v>
      </x:c>
    </x:row>
    <x:row r="1562">
      <x:c r="A1562" s="17" t="n">
        <x:v>45278</x:v>
      </x:c>
      <x:c r="B1562" s="18" t="n">
        <x:v>2019.56</x:v>
      </x:c>
      <x:c r="C1562" s="18" t="n">
        <x:v>2033.77</x:v>
      </x:c>
      <x:c r="D1562" s="18" t="n">
        <x:v>2015.86</x:v>
      </x:c>
      <x:c r="E1562" s="18" t="n">
        <x:v>2027.21</x:v>
      </x:c>
      <x:c r="F1562" s="19" t="n">
        <x:v>280002</x:v>
      </x:c>
    </x:row>
    <x:row r="1563">
      <x:c r="A1563" s="17" t="n">
        <x:v>45279</x:v>
      </x:c>
      <x:c r="B1563" s="18" t="n">
        <x:v>2027.32</x:v>
      </x:c>
      <x:c r="C1563" s="18" t="n">
        <x:v>2047.03</x:v>
      </x:c>
      <x:c r="D1563" s="18" t="n">
        <x:v>2021.62</x:v>
      </x:c>
      <x:c r="E1563" s="18" t="n">
        <x:v>2040.13</x:v>
      </x:c>
      <x:c r="F1563" s="19" t="n">
        <x:v>308394</x:v>
      </x:c>
    </x:row>
    <x:row r="1564">
      <x:c r="A1564" s="17" t="n">
        <x:v>45280</x:v>
      </x:c>
      <x:c r="B1564" s="18" t="n">
        <x:v>2040.05</x:v>
      </x:c>
      <x:c r="C1564" s="18" t="n">
        <x:v>2043.56</x:v>
      </x:c>
      <x:c r="D1564" s="18" t="n">
        <x:v>2027.27</x:v>
      </x:c>
      <x:c r="E1564" s="18" t="n">
        <x:v>2031.31</x:v>
      </x:c>
      <x:c r="F1564" s="19" t="n">
        <x:v>311016</x:v>
      </x:c>
    </x:row>
    <x:row r="1565">
      <x:c r="A1565" s="17" t="n">
        <x:v>45281</x:v>
      </x:c>
      <x:c r="B1565" s="18" t="n">
        <x:v>2032.05</x:v>
      </x:c>
      <x:c r="C1565" s="18" t="n">
        <x:v>2046.12</x:v>
      </x:c>
      <x:c r="D1565" s="18" t="n">
        <x:v>2031.39</x:v>
      </x:c>
      <x:c r="E1565" s="18" t="n">
        <x:v>2045.78</x:v>
      </x:c>
      <x:c r="F1565" s="19" t="n">
        <x:v>332142</x:v>
      </x:c>
    </x:row>
    <x:row r="1566">
      <x:c r="A1566" s="17" t="n">
        <x:v>45282</x:v>
      </x:c>
      <x:c r="B1566" s="18" t="n">
        <x:v>2045.87</x:v>
      </x:c>
      <x:c r="C1566" s="18" t="n">
        <x:v>2070.7</x:v>
      </x:c>
      <x:c r="D1566" s="18" t="n">
        <x:v>2045.87</x:v>
      </x:c>
      <x:c r="E1566" s="18" t="n">
        <x:v>2052.75</x:v>
      </x:c>
      <x:c r="F1566" s="19" t="n">
        <x:v>383955</x:v>
      </x:c>
    </x:row>
    <x:row r="1567">
      <x:c r="A1567" s="17" t="n">
        <x:v>45286</x:v>
      </x:c>
      <x:c r="B1567" s="18" t="n">
        <x:v>2053.23</x:v>
      </x:c>
      <x:c r="C1567" s="18" t="n">
        <x:v>2069.05</x:v>
      </x:c>
      <x:c r="D1567" s="18" t="n">
        <x:v>2052.97</x:v>
      </x:c>
      <x:c r="E1567" s="18" t="n">
        <x:v>2067.44</x:v>
      </x:c>
      <x:c r="F1567" s="19" t="n">
        <x:v>202590</x:v>
      </x:c>
    </x:row>
    <x:row r="1568">
      <x:c r="A1568" s="17" t="n">
        <x:v>45287</x:v>
      </x:c>
      <x:c r="B1568" s="18" t="n">
        <x:v>2068.19</x:v>
      </x:c>
      <x:c r="C1568" s="18" t="n">
        <x:v>2084.51</x:v>
      </x:c>
      <x:c r="D1568" s="18" t="n">
        <x:v>2061.32</x:v>
      </x:c>
      <x:c r="E1568" s="18" t="n">
        <x:v>2077.49</x:v>
      </x:c>
      <x:c r="F1568" s="19" t="n">
        <x:v>285928</x:v>
      </x:c>
    </x:row>
    <x:row r="1569">
      <x:c r="A1569" s="17" t="n">
        <x:v>45288</x:v>
      </x:c>
      <x:c r="B1569" s="18" t="n">
        <x:v>2077.46</x:v>
      </x:c>
      <x:c r="C1569" s="18" t="n">
        <x:v>2088.51</x:v>
      </x:c>
      <x:c r="D1569" s="18" t="n">
        <x:v>2064.37</x:v>
      </x:c>
      <x:c r="E1569" s="18" t="n">
        <x:v>2065.25</x:v>
      </x:c>
      <x:c r="F1569" s="19" t="n">
        <x:v>328829</x:v>
      </x:c>
    </x:row>
    <x:row r="1570">
      <x:c r="A1570" s="17" t="n">
        <x:v>45289</x:v>
      </x:c>
      <x:c r="B1570" s="18" t="n">
        <x:v>2066.27</x:v>
      </x:c>
      <x:c r="C1570" s="18" t="n">
        <x:v>2074.87</x:v>
      </x:c>
      <x:c r="D1570" s="18" t="n">
        <x:v>2058.07</x:v>
      </x:c>
      <x:c r="E1570" s="18" t="n">
        <x:v>2062.67</x:v>
      </x:c>
      <x:c r="F1570" s="19" t="n">
        <x:v>295714</x:v>
      </x:c>
    </x:row>
    <x:row r="1571">
      <x:c r="A1571" s="17" t="n">
        <x:v>45293</x:v>
      </x:c>
      <x:c r="B1571" s="18" t="n">
        <x:v>2062.91</x:v>
      </x:c>
      <x:c r="C1571" s="18" t="n">
        <x:v>2078.99</x:v>
      </x:c>
      <x:c r="D1571" s="18" t="n">
        <x:v>2055.82</x:v>
      </x:c>
      <x:c r="E1571" s="18" t="n">
        <x:v>2058.91</x:v>
      </x:c>
      <x:c r="F1571" s="19" t="n">
        <x:v>376799</x:v>
      </x:c>
    </x:row>
    <x:row r="1572">
      <x:c r="A1572" s="17" t="n">
        <x:v>45294</x:v>
      </x:c>
      <x:c r="B1572" s="18" t="n">
        <x:v>2059.16</x:v>
      </x:c>
      <x:c r="C1572" s="18" t="n">
        <x:v>2066.05</x:v>
      </x:c>
      <x:c r="D1572" s="18" t="n">
        <x:v>2030.49</x:v>
      </x:c>
      <x:c r="E1572" s="18" t="n">
        <x:v>2041.27</x:v>
      </x:c>
      <x:c r="F1572" s="19" t="n">
        <x:v>441916</x:v>
      </x:c>
    </x:row>
    <x:row r="1573">
      <x:c r="A1573" s="17" t="n">
        <x:v>45295</x:v>
      </x:c>
      <x:c r="B1573" s="18" t="n">
        <x:v>2041.88</x:v>
      </x:c>
      <x:c r="C1573" s="18" t="n">
        <x:v>2051.04</x:v>
      </x:c>
      <x:c r="D1573" s="18" t="n">
        <x:v>2036.1</x:v>
      </x:c>
      <x:c r="E1573" s="18" t="n">
        <x:v>2043.28</x:v>
      </x:c>
      <x:c r="F1573" s="19" t="n">
        <x:v>324187</x:v>
      </x:c>
    </x:row>
    <x:row r="1574">
      <x:c r="A1574" s="17" t="n">
        <x:v>45296</x:v>
      </x:c>
      <x:c r="B1574" s="18" t="n">
        <x:v>2043.81</x:v>
      </x:c>
      <x:c r="C1574" s="18" t="n">
        <x:v>2064.07</x:v>
      </x:c>
      <x:c r="D1574" s="18" t="n">
        <x:v>2024.34</x:v>
      </x:c>
      <x:c r="E1574" s="18" t="n">
        <x:v>2045.3</x:v>
      </x:c>
      <x:c r="F1574" s="19" t="n">
        <x:v>479354</x:v>
      </x:c>
    </x:row>
    <x:row r="1575">
      <x:c r="A1575" s="17" t="n">
        <x:v>45299</x:v>
      </x:c>
      <x:c r="B1575" s="18" t="n">
        <x:v>2044.65</x:v>
      </x:c>
      <x:c r="C1575" s="18" t="n">
        <x:v>2046.55</x:v>
      </x:c>
      <x:c r="D1575" s="18" t="n">
        <x:v>2016.61</x:v>
      </x:c>
      <x:c r="E1575" s="18" t="n">
        <x:v>2028.18</x:v>
      </x:c>
      <x:c r="F1575" s="19" t="n">
        <x:v>386826</x:v>
      </x:c>
    </x:row>
    <x:row r="1576">
      <x:c r="A1576" s="17" t="n">
        <x:v>45300</x:v>
      </x:c>
      <x:c r="B1576" s="18" t="n">
        <x:v>2028.22</x:v>
      </x:c>
      <x:c r="C1576" s="18" t="n">
        <x:v>2042.09</x:v>
      </x:c>
      <x:c r="D1576" s="18" t="n">
        <x:v>2025.95</x:v>
      </x:c>
      <x:c r="E1576" s="18" t="n">
        <x:v>2030.21</x:v>
      </x:c>
      <x:c r="F1576" s="19" t="n">
        <x:v>376781</x:v>
      </x:c>
    </x:row>
    <x:row r="1577">
      <x:c r="A1577" s="17" t="n">
        <x:v>45301</x:v>
      </x:c>
      <x:c r="B1577" s="18" t="n">
        <x:v>2030.36</x:v>
      </x:c>
      <x:c r="C1577" s="18" t="n">
        <x:v>2040.37</x:v>
      </x:c>
      <x:c r="D1577" s="18" t="n">
        <x:v>2020.31</x:v>
      </x:c>
      <x:c r="E1577" s="18" t="n">
        <x:v>2024.32</x:v>
      </x:c>
      <x:c r="F1577" s="19" t="n">
        <x:v>399693</x:v>
      </x:c>
    </x:row>
    <x:row r="1578">
      <x:c r="A1578" s="17" t="n">
        <x:v>45302</x:v>
      </x:c>
      <x:c r="B1578" s="18" t="n">
        <x:v>2024.06</x:v>
      </x:c>
      <x:c r="C1578" s="18" t="n">
        <x:v>2045.8</x:v>
      </x:c>
      <x:c r="D1578" s="18" t="n">
        <x:v>2013.16</x:v>
      </x:c>
      <x:c r="E1578" s="18" t="n">
        <x:v>2028.54</x:v>
      </x:c>
      <x:c r="F1578" s="19" t="n">
        <x:v>538544</x:v>
      </x:c>
    </x:row>
    <x:row r="1579">
      <x:c r="A1579" s="17" t="n">
        <x:v>45303</x:v>
      </x:c>
      <x:c r="B1579" s="18" t="n">
        <x:v>2029.2</x:v>
      </x:c>
      <x:c r="C1579" s="18" t="n">
        <x:v>2062.33</x:v>
      </x:c>
      <x:c r="D1579" s="18" t="n">
        <x:v>2028.73</x:v>
      </x:c>
      <x:c r="E1579" s="18" t="n">
        <x:v>2048.81</x:v>
      </x:c>
      <x:c r="F1579" s="19" t="n">
        <x:v>562683</x:v>
      </x:c>
    </x:row>
    <x:row r="1580">
      <x:c r="A1580" s="17" t="n">
        <x:v>45306</x:v>
      </x:c>
      <x:c r="B1580" s="18" t="n">
        <x:v>2047.9</x:v>
      </x:c>
      <x:c r="C1580" s="18" t="n">
        <x:v>2058.66</x:v>
      </x:c>
      <x:c r="D1580" s="18" t="n">
        <x:v>2045.68</x:v>
      </x:c>
      <x:c r="E1580" s="18" t="n">
        <x:v>2054.6</x:v>
      </x:c>
      <x:c r="F1580" s="19" t="n">
        <x:v>248084</x:v>
      </x:c>
    </x:row>
    <x:row r="1581">
      <x:c r="A1581" s="17" t="n">
        <x:v>45307</x:v>
      </x:c>
      <x:c r="B1581" s="18" t="n">
        <x:v>2054.62</x:v>
      </x:c>
      <x:c r="C1581" s="18" t="n">
        <x:v>2055.59</x:v>
      </x:c>
      <x:c r="D1581" s="18" t="n">
        <x:v>2024.19</x:v>
      </x:c>
      <x:c r="E1581" s="18" t="n">
        <x:v>2028.22</x:v>
      </x:c>
      <x:c r="F1581" s="19" t="n">
        <x:v>459103</x:v>
      </x:c>
    </x:row>
    <x:row r="1582">
      <x:c r="A1582" s="17" t="n">
        <x:v>45308</x:v>
      </x:c>
      <x:c r="B1582" s="18" t="n">
        <x:v>2028.29</x:v>
      </x:c>
      <x:c r="C1582" s="18" t="n">
        <x:v>2033</x:v>
      </x:c>
      <x:c r="D1582" s="18" t="n">
        <x:v>2001.68</x:v>
      </x:c>
      <x:c r="E1582" s="18" t="n">
        <x:v>2006.11</x:v>
      </x:c>
      <x:c r="F1582" s="19" t="n">
        <x:v>557364</x:v>
      </x:c>
    </x:row>
    <x:row r="1583">
      <x:c r="A1583" s="17" t="n">
        <x:v>45309</x:v>
      </x:c>
      <x:c r="B1583" s="18" t="n">
        <x:v>2005.62</x:v>
      </x:c>
      <x:c r="C1583" s="18" t="n">
        <x:v>2023.31</x:v>
      </x:c>
      <x:c r="D1583" s="18" t="n">
        <x:v>2005.62</x:v>
      </x:c>
      <x:c r="E1583" s="18" t="n">
        <x:v>2022.93</x:v>
      </x:c>
      <x:c r="F1583" s="19" t="n">
        <x:v>430350</x:v>
      </x:c>
    </x:row>
    <x:row r="1584">
      <x:c r="A1584" s="17" t="n">
        <x:v>45310</x:v>
      </x:c>
      <x:c r="B1584" s="18" t="n">
        <x:v>2024.39</x:v>
      </x:c>
      <x:c r="C1584" s="18" t="n">
        <x:v>2039.5</x:v>
      </x:c>
      <x:c r="D1584" s="18" t="n">
        <x:v>2020.26</x:v>
      </x:c>
      <x:c r="E1584" s="18" t="n">
        <x:v>2029.33</x:v>
      </x:c>
      <x:c r="F1584" s="19" t="n">
        <x:v>410962</x:v>
      </x:c>
    </x:row>
    <x:row r="1585">
      <x:c r="A1585" s="17" t="n">
        <x:v>45313</x:v>
      </x:c>
      <x:c r="B1585" s="18" t="n">
        <x:v>2029.7</x:v>
      </x:c>
      <x:c r="C1585" s="18" t="n">
        <x:v>2032.19</x:v>
      </x:c>
      <x:c r="D1585" s="18" t="n">
        <x:v>2016.42</x:v>
      </x:c>
      <x:c r="E1585" s="18" t="n">
        <x:v>2021.62</x:v>
      </x:c>
      <x:c r="F1585" s="19" t="n">
        <x:v>423889</x:v>
      </x:c>
    </x:row>
    <x:row r="1586">
      <x:c r="A1586" s="17" t="n">
        <x:v>45314</x:v>
      </x:c>
      <x:c r="B1586" s="18" t="n">
        <x:v>2021.96</x:v>
      </x:c>
      <x:c r="C1586" s="18" t="n">
        <x:v>2037.98</x:v>
      </x:c>
      <x:c r="D1586" s="18" t="n">
        <x:v>2019.51</x:v>
      </x:c>
      <x:c r="E1586" s="18" t="n">
        <x:v>2029.23</x:v>
      </x:c>
      <x:c r="F1586" s="19" t="n">
        <x:v>436043</x:v>
      </x:c>
    </x:row>
    <x:row r="1587">
      <x:c r="A1587" s="17" t="n">
        <x:v>45315</x:v>
      </x:c>
      <x:c r="B1587" s="18" t="n">
        <x:v>2029.02</x:v>
      </x:c>
      <x:c r="C1587" s="18" t="n">
        <x:v>2036.78</x:v>
      </x:c>
      <x:c r="D1587" s="18" t="n">
        <x:v>2011.06</x:v>
      </x:c>
      <x:c r="E1587" s="18" t="n">
        <x:v>2013.5</x:v>
      </x:c>
      <x:c r="F1587" s="19" t="n">
        <x:v>543248</x:v>
      </x:c>
    </x:row>
    <x:row r="1588">
      <x:c r="A1588" s="17" t="n">
        <x:v>45316</x:v>
      </x:c>
      <x:c r="B1588" s="18" t="n">
        <x:v>2014.3</x:v>
      </x:c>
      <x:c r="C1588" s="18" t="n">
        <x:v>2025.44</x:v>
      </x:c>
      <x:c r="D1588" s="18" t="n">
        <x:v>2009.47</x:v>
      </x:c>
      <x:c r="E1588" s="18" t="n">
        <x:v>2020.7</x:v>
      </x:c>
      <x:c r="F1588" s="19" t="n">
        <x:v>443626</x:v>
      </x:c>
    </x:row>
    <x:row r="1589">
      <x:c r="A1589" s="17" t="n">
        <x:v>45317</x:v>
      </x:c>
      <x:c r="B1589" s="18" t="n">
        <x:v>2020.26</x:v>
      </x:c>
      <x:c r="C1589" s="18" t="n">
        <x:v>2026.75</x:v>
      </x:c>
      <x:c r="D1589" s="18" t="n">
        <x:v>2015.81</x:v>
      </x:c>
      <x:c r="E1589" s="18" t="n">
        <x:v>2018.49</x:v>
      </x:c>
      <x:c r="F1589" s="19" t="n">
        <x:v>353072</x:v>
      </x:c>
    </x:row>
    <x:row r="1590">
      <x:c r="A1590" s="17" t="n">
        <x:v>45320</x:v>
      </x:c>
      <x:c r="B1590" s="18" t="n">
        <x:v>2024.05</x:v>
      </x:c>
      <x:c r="C1590" s="18" t="n">
        <x:v>2037.46</x:v>
      </x:c>
      <x:c r="D1590" s="18" t="n">
        <x:v>2019.18</x:v>
      </x:c>
      <x:c r="E1590" s="18" t="n">
        <x:v>2032.7</x:v>
      </x:c>
      <x:c r="F1590" s="19" t="n">
        <x:v>288679</x:v>
      </x:c>
    </x:row>
    <x:row r="1591">
      <x:c r="A1591" s="17" t="n">
        <x:v>45321</x:v>
      </x:c>
      <x:c r="B1591" s="18" t="n">
        <x:v>2032.92</x:v>
      </x:c>
      <x:c r="C1591" s="18" t="n">
        <x:v>2048.64</x:v>
      </x:c>
      <x:c r="D1591" s="18" t="n">
        <x:v>2028.96</x:v>
      </x:c>
      <x:c r="E1591" s="18" t="n">
        <x:v>2036.87</x:v>
      </x:c>
      <x:c r="F1591" s="19" t="n">
        <x:v>412991</x:v>
      </x:c>
    </x:row>
    <x:row r="1592">
      <x:c r="A1592" s="17" t="n">
        <x:v>45322</x:v>
      </x:c>
      <x:c r="B1592" s="18" t="n">
        <x:v>2036.95</x:v>
      </x:c>
      <x:c r="C1592" s="18" t="n">
        <x:v>2056.07</x:v>
      </x:c>
      <x:c r="D1592" s="18" t="n">
        <x:v>2030.79</x:v>
      </x:c>
      <x:c r="E1592" s="18" t="n">
        <x:v>2039.2</x:v>
      </x:c>
      <x:c r="F1592" s="19" t="n">
        <x:v>567869</x:v>
      </x:c>
    </x:row>
    <x:row r="1593">
      <x:c r="A1593" s="17" t="n">
        <x:v>45323</x:v>
      </x:c>
      <x:c r="B1593" s="18" t="n">
        <x:v>2038.97</x:v>
      </x:c>
      <x:c r="C1593" s="18" t="n">
        <x:v>2065.54</x:v>
      </x:c>
      <x:c r="D1593" s="18" t="n">
        <x:v>2029.93</x:v>
      </x:c>
      <x:c r="E1593" s="18" t="n">
        <x:v>2054.98</x:v>
      </x:c>
      <x:c r="F1593" s="19" t="n">
        <x:v>592314</x:v>
      </x:c>
    </x:row>
    <x:row r="1594">
      <x:c r="A1594" s="17" t="n">
        <x:v>45324</x:v>
      </x:c>
      <x:c r="B1594" s="18" t="n">
        <x:v>2054.88</x:v>
      </x:c>
      <x:c r="C1594" s="18" t="n">
        <x:v>2057.73</x:v>
      </x:c>
      <x:c r="D1594" s="18" t="n">
        <x:v>2027.73</x:v>
      </x:c>
      <x:c r="E1594" s="18" t="n">
        <x:v>2039.57</x:v>
      </x:c>
      <x:c r="F1594" s="19" t="n">
        <x:v>383044</x:v>
      </x:c>
    </x:row>
    <x:row r="1595">
      <x:c r="A1595" s="17" t="n">
        <x:v>45327</x:v>
      </x:c>
      <x:c r="B1595" s="18" t="n">
        <x:v>2040.01</x:v>
      </x:c>
      <x:c r="C1595" s="18" t="n">
        <x:v>2042.29</x:v>
      </x:c>
      <x:c r="D1595" s="18" t="n">
        <x:v>2014.76</x:v>
      </x:c>
      <x:c r="E1595" s="18" t="n">
        <x:v>2025.03</x:v>
      </x:c>
      <x:c r="F1595" s="19" t="n">
        <x:v>398004</x:v>
      </x:c>
    </x:row>
    <x:row r="1596">
      <x:c r="A1596" s="17" t="n">
        <x:v>45328</x:v>
      </x:c>
      <x:c r="B1596" s="18" t="n">
        <x:v>2024.76</x:v>
      </x:c>
      <x:c r="C1596" s="18" t="n">
        <x:v>2038.96</x:v>
      </x:c>
      <x:c r="D1596" s="18" t="n">
        <x:v>2022.77</x:v>
      </x:c>
      <x:c r="E1596" s="18" t="n">
        <x:v>2035.86</x:v>
      </x:c>
      <x:c r="F1596" s="19" t="n">
        <x:v>191974</x:v>
      </x:c>
    </x:row>
    <x:row r="1597">
      <x:c r="A1597" s="17" t="n">
        <x:v>45329</x:v>
      </x:c>
      <x:c r="B1597" s="18" t="n">
        <x:v>2036.04</x:v>
      </x:c>
      <x:c r="C1597" s="18" t="n">
        <x:v>2044.64</x:v>
      </x:c>
      <x:c r="D1597" s="18" t="n">
        <x:v>2030.5</x:v>
      </x:c>
      <x:c r="E1597" s="18" t="n">
        <x:v>2035</x:v>
      </x:c>
      <x:c r="F1597" s="19" t="n">
        <x:v>142344</x:v>
      </x:c>
    </x:row>
    <x:row r="1598">
      <x:c r="A1598" s="17" t="n">
        <x:v>45330</x:v>
      </x:c>
      <x:c r="B1598" s="18" t="n">
        <x:v>2035.64</x:v>
      </x:c>
      <x:c r="C1598" s="18" t="n">
        <x:v>2038.7</x:v>
      </x:c>
      <x:c r="D1598" s="18" t="n">
        <x:v>2020.08</x:v>
      </x:c>
      <x:c r="E1598" s="18" t="n">
        <x:v>2034.33</x:v>
      </x:c>
      <x:c r="F1598" s="19" t="n">
        <x:v>151572</x:v>
      </x:c>
    </x:row>
    <x:row r="1599">
      <x:c r="A1599" s="17" t="n">
        <x:v>45331</x:v>
      </x:c>
      <x:c r="B1599" s="18" t="n">
        <x:v>2034.61</x:v>
      </x:c>
      <x:c r="C1599" s="18" t="n">
        <x:v>2037.28</x:v>
      </x:c>
      <x:c r="D1599" s="18" t="n">
        <x:v>2020.2</x:v>
      </x:c>
      <x:c r="E1599" s="18" t="n">
        <x:v>2024.26</x:v>
      </x:c>
      <x:c r="F1599" s="19" t="n">
        <x:v>138125</x:v>
      </x:c>
    </x:row>
    <x:row r="1600">
      <x:c r="A1600" s="17" t="n">
        <x:v>45334</x:v>
      </x:c>
      <x:c r="B1600" s="18" t="n">
        <x:v>2024.15</x:v>
      </x:c>
      <x:c r="C1600" s="18" t="n">
        <x:v>2027.59</x:v>
      </x:c>
      <x:c r="D1600" s="18" t="n">
        <x:v>2011.75</x:v>
      </x:c>
      <x:c r="E1600" s="18" t="n">
        <x:v>2019.94</x:v>
      </x:c>
      <x:c r="F1600" s="19" t="n">
        <x:v>139488</x:v>
      </x:c>
    </x:row>
    <x:row r="1601">
      <x:c r="A1601" s="17" t="n">
        <x:v>45335</x:v>
      </x:c>
      <x:c r="B1601" s="18" t="n">
        <x:v>2019.73</x:v>
      </x:c>
      <x:c r="C1601" s="18" t="n">
        <x:v>2031.91</x:v>
      </x:c>
      <x:c r="D1601" s="18" t="n">
        <x:v>1989.97</x:v>
      </x:c>
      <x:c r="E1601" s="18" t="n">
        <x:v>1992.95</x:v>
      </x:c>
      <x:c r="F1601" s="19" t="n">
        <x:v>153478</x:v>
      </x:c>
    </x:row>
    <x:row r="1602">
      <x:c r="A1602" s="17" t="n">
        <x:v>45336</x:v>
      </x:c>
      <x:c r="B1602" s="18" t="n">
        <x:v>1993.44</x:v>
      </x:c>
      <x:c r="C1602" s="18" t="n">
        <x:v>1996.12</x:v>
      </x:c>
      <x:c r="D1602" s="18" t="n">
        <x:v>1984.03</x:v>
      </x:c>
      <x:c r="E1602" s="18" t="n">
        <x:v>1992.1</x:v>
      </x:c>
      <x:c r="F1602" s="19" t="n">
        <x:v>145815</x:v>
      </x:c>
    </x:row>
    <x:row r="1603">
      <x:c r="A1603" s="17" t="n">
        <x:v>45337</x:v>
      </x:c>
      <x:c r="B1603" s="18" t="n">
        <x:v>1992.32</x:v>
      </x:c>
      <x:c r="C1603" s="18" t="n">
        <x:v>2008.38</x:v>
      </x:c>
      <x:c r="D1603" s="18" t="n">
        <x:v>1990.09</x:v>
      </x:c>
      <x:c r="E1603" s="18" t="n">
        <x:v>2004.25</x:v>
      </x:c>
      <x:c r="F1603" s="19" t="n">
        <x:v>138635</x:v>
      </x:c>
    </x:row>
    <x:row r="1604">
      <x:c r="A1604" s="17" t="n">
        <x:v>45338</x:v>
      </x:c>
      <x:c r="B1604" s="18" t="n">
        <x:v>2004.12</x:v>
      </x:c>
      <x:c r="C1604" s="18" t="n">
        <x:v>2015.24</x:v>
      </x:c>
      <x:c r="D1604" s="18" t="n">
        <x:v>1995.19</x:v>
      </x:c>
      <x:c r="E1604" s="18" t="n">
        <x:v>2013.18</x:v>
      </x:c>
      <x:c r="F1604" s="19" t="n">
        <x:v>134157</x:v>
      </x:c>
    </x:row>
    <x:row r="1605">
      <x:c r="A1605" s="17" t="n">
        <x:v>45341</x:v>
      </x:c>
      <x:c r="B1605" s="18" t="n">
        <x:v>2014.69</x:v>
      </x:c>
      <x:c r="C1605" s="18" t="n">
        <x:v>2023.04</x:v>
      </x:c>
      <x:c r="D1605" s="18" t="n">
        <x:v>2011.38</x:v>
      </x:c>
      <x:c r="E1605" s="18" t="n">
        <x:v>2017.91</x:v>
      </x:c>
      <x:c r="F1605" s="19" t="n">
        <x:v>99685</x:v>
      </x:c>
    </x:row>
    <x:row r="1606">
      <x:c r="A1606" s="17" t="n">
        <x:v>45342</x:v>
      </x:c>
      <x:c r="B1606" s="18" t="n">
        <x:v>2018.09</x:v>
      </x:c>
      <x:c r="C1606" s="18" t="n">
        <x:v>2030.94</x:v>
      </x:c>
      <x:c r="D1606" s="18" t="n">
        <x:v>2014.87</x:v>
      </x:c>
      <x:c r="E1606" s="18" t="n">
        <x:v>2024.23</x:v>
      </x:c>
      <x:c r="F1606" s="19" t="n">
        <x:v>130870</x:v>
      </x:c>
    </x:row>
    <x:row r="1607">
      <x:c r="A1607" s="17" t="n">
        <x:v>45343</x:v>
      </x:c>
      <x:c r="B1607" s="18" t="n">
        <x:v>2024.11</x:v>
      </x:c>
      <x:c r="C1607" s="18" t="n">
        <x:v>2032.27</x:v>
      </x:c>
      <x:c r="D1607" s="18" t="n">
        <x:v>2020.05</x:v>
      </x:c>
      <x:c r="E1607" s="18" t="n">
        <x:v>2025.97</x:v>
      </x:c>
      <x:c r="F1607" s="19" t="n">
        <x:v>141138</x:v>
      </x:c>
    </x:row>
    <x:row r="1608">
      <x:c r="A1608" s="17" t="n">
        <x:v>45344</x:v>
      </x:c>
      <x:c r="B1608" s="18" t="n">
        <x:v>2025.61</x:v>
      </x:c>
      <x:c r="C1608" s="18" t="n">
        <x:v>2034.86</x:v>
      </x:c>
      <x:c r="D1608" s="18" t="n">
        <x:v>2019.48</x:v>
      </x:c>
      <x:c r="E1608" s="18" t="n">
        <x:v>2024.27</x:v>
      </x:c>
      <x:c r="F1608" s="19" t="n">
        <x:v>148953</x:v>
      </x:c>
    </x:row>
    <x:row r="1609">
      <x:c r="A1609" s="17" t="n">
        <x:v>45345</x:v>
      </x:c>
      <x:c r="B1609" s="18" t="n">
        <x:v>2024.37</x:v>
      </x:c>
      <x:c r="C1609" s="18" t="n">
        <x:v>2041.39</x:v>
      </x:c>
      <x:c r="D1609" s="18" t="n">
        <x:v>2015.92</x:v>
      </x:c>
      <x:c r="E1609" s="18" t="n">
        <x:v>2035.52</x:v>
      </x:c>
      <x:c r="F1609" s="19" t="n">
        <x:v>150943</x:v>
      </x:c>
    </x:row>
    <x:row r="1610">
      <x:c r="A1610" s="17" t="n">
        <x:v>45348</x:v>
      </x:c>
      <x:c r="B1610" s="18" t="n">
        <x:v>2034.32</x:v>
      </x:c>
      <x:c r="C1610" s="18" t="n">
        <x:v>2037.1</x:v>
      </x:c>
      <x:c r="D1610" s="18" t="n">
        <x:v>2024.94</x:v>
      </x:c>
      <x:c r="E1610" s="18" t="n">
        <x:v>2031.16</x:v>
      </x:c>
      <x:c r="F1610" s="19" t="n">
        <x:v>136963</x:v>
      </x:c>
    </x:row>
    <x:row r="1611">
      <x:c r="A1611" s="17" t="n">
        <x:v>45349</x:v>
      </x:c>
      <x:c r="B1611" s="18" t="n">
        <x:v>2031.45</x:v>
      </x:c>
      <x:c r="C1611" s="18" t="n">
        <x:v>2039.51</x:v>
      </x:c>
      <x:c r="D1611" s="18" t="n">
        <x:v>2028.63</x:v>
      </x:c>
      <x:c r="E1611" s="18" t="n">
        <x:v>2030.38</x:v>
      </x:c>
      <x:c r="F1611" s="19" t="n">
        <x:v>130317</x:v>
      </x:c>
    </x:row>
    <x:row r="1612">
      <x:c r="A1612" s="17" t="n">
        <x:v>45350</x:v>
      </x:c>
      <x:c r="B1612" s="18" t="n">
        <x:v>2030.71</x:v>
      </x:c>
      <x:c r="C1612" s="18" t="n">
        <x:v>2037.94</x:v>
      </x:c>
      <x:c r="D1612" s="18" t="n">
        <x:v>2024.38</x:v>
      </x:c>
      <x:c r="E1612" s="18" t="n">
        <x:v>2034.37</x:v>
      </x:c>
      <x:c r="F1612" s="19" t="n">
        <x:v>129908</x:v>
      </x:c>
    </x:row>
    <x:row r="1613">
      <x:c r="A1613" s="17" t="n">
        <x:v>45351</x:v>
      </x:c>
      <x:c r="B1613" s="18" t="n">
        <x:v>2034.37</x:v>
      </x:c>
      <x:c r="C1613" s="18" t="n">
        <x:v>2050.78</x:v>
      </x:c>
      <x:c r="D1613" s="18" t="n">
        <x:v>2027.97</x:v>
      </x:c>
      <x:c r="E1613" s="18" t="n">
        <x:v>2044.12</x:v>
      </x:c>
      <x:c r="F1613" s="19" t="n">
        <x:v>146206</x:v>
      </x:c>
    </x:row>
    <x:row r="1614">
      <x:c r="A1614" s="17" t="n">
        <x:v>45352</x:v>
      </x:c>
      <x:c r="B1614" s="18" t="n">
        <x:v>2043.77</x:v>
      </x:c>
      <x:c r="C1614" s="18" t="n">
        <x:v>2088.38</x:v>
      </x:c>
      <x:c r="D1614" s="18" t="n">
        <x:v>2038.92</x:v>
      </x:c>
      <x:c r="E1614" s="18" t="n">
        <x:v>2083.26</x:v>
      </x:c>
      <x:c r="F1614" s="19" t="n">
        <x:v>164147</x:v>
      </x:c>
    </x:row>
    <x:row r="1615">
      <x:c r="A1615" s="17" t="n">
        <x:v>45355</x:v>
      </x:c>
      <x:c r="B1615" s="18" t="n">
        <x:v>2082.51</x:v>
      </x:c>
      <x:c r="C1615" s="18" t="n">
        <x:v>2119.94</x:v>
      </x:c>
      <x:c r="D1615" s="18" t="n">
        <x:v>2079.37</x:v>
      </x:c>
      <x:c r="E1615" s="18" t="n">
        <x:v>2114.27</x:v>
      </x:c>
      <x:c r="F1615" s="19" t="n">
        <x:v>144180</x:v>
      </x:c>
    </x:row>
    <x:row r="1616">
      <x:c r="A1616" s="17" t="n">
        <x:v>45356</x:v>
      </x:c>
      <x:c r="B1616" s="18" t="n">
        <x:v>2114.59</x:v>
      </x:c>
      <x:c r="C1616" s="18" t="n">
        <x:v>2141.81</x:v>
      </x:c>
      <x:c r="D1616" s="18" t="n">
        <x:v>2110.43</x:v>
      </x:c>
      <x:c r="E1616" s="18" t="n">
        <x:v>2127.84</x:v>
      </x:c>
      <x:c r="F1616" s="19" t="n">
        <x:v>173988</x:v>
      </x:c>
    </x:row>
    <x:row r="1617">
      <x:c r="A1617" s="17" t="n">
        <x:v>45357</x:v>
      </x:c>
      <x:c r="B1617" s="18" t="n">
        <x:v>2128</x:v>
      </x:c>
      <x:c r="C1617" s="18" t="n">
        <x:v>2152.27</x:v>
      </x:c>
      <x:c r="D1617" s="18" t="n">
        <x:v>2123.59</x:v>
      </x:c>
      <x:c r="E1617" s="18" t="n">
        <x:v>2148.03</x:v>
      </x:c>
      <x:c r="F1617" s="19" t="n">
        <x:v>158499</x:v>
      </x:c>
    </x:row>
    <x:row r="1618">
      <x:c r="A1618" s="17" t="n">
        <x:v>45358</x:v>
      </x:c>
      <x:c r="B1618" s="18" t="n">
        <x:v>2148.94</x:v>
      </x:c>
      <x:c r="C1618" s="18" t="n">
        <x:v>2164.76</x:v>
      </x:c>
      <x:c r="D1618" s="18" t="n">
        <x:v>2144.2</x:v>
      </x:c>
      <x:c r="E1618" s="18" t="n">
        <x:v>2159.93</x:v>
      </x:c>
      <x:c r="F1618" s="19" t="n">
        <x:v>165049</x:v>
      </x:c>
    </x:row>
    <x:row r="1619">
      <x:c r="A1619" s="17" t="n">
        <x:v>45359</x:v>
      </x:c>
      <x:c r="B1619" s="18" t="n">
        <x:v>2159.28</x:v>
      </x:c>
      <x:c r="C1619" s="18" t="n">
        <x:v>2195.22</x:v>
      </x:c>
      <x:c r="D1619" s="18" t="n">
        <x:v>2153.96</x:v>
      </x:c>
      <x:c r="E1619" s="18" t="n">
        <x:v>2178.55</x:v>
      </x:c>
      <x:c r="F1619" s="19" t="n">
        <x:v>174781</x:v>
      </x:c>
    </x:row>
    <x:row r="1620">
      <x:c r="A1620" s="17" t="n">
        <x:v>45362</x:v>
      </x:c>
      <x:c r="B1620" s="18" t="n">
        <x:v>2181.21</x:v>
      </x:c>
      <x:c r="C1620" s="18" t="n">
        <x:v>2189.03</x:v>
      </x:c>
      <x:c r="D1620" s="18" t="n">
        <x:v>2174.72</x:v>
      </x:c>
      <x:c r="E1620" s="18" t="n">
        <x:v>2182.65</x:v>
      </x:c>
      <x:c r="F1620" s="19" t="n">
        <x:v>146453</x:v>
      </x:c>
    </x:row>
    <x:row r="1621">
      <x:c r="A1621" s="17" t="n">
        <x:v>45363</x:v>
      </x:c>
      <x:c r="B1621" s="18" t="n">
        <x:v>2182.17</x:v>
      </x:c>
      <x:c r="C1621" s="18" t="n">
        <x:v>2184.76</x:v>
      </x:c>
      <x:c r="D1621" s="18" t="n">
        <x:v>2150.5</x:v>
      </x:c>
      <x:c r="E1621" s="18" t="n">
        <x:v>2158.13</x:v>
      </x:c>
      <x:c r="F1621" s="19" t="n">
        <x:v>94467</x:v>
      </x:c>
    </x:row>
    <x:row r="1622">
      <x:c r="A1622" s="17" t="n">
        <x:v>45364</x:v>
      </x:c>
      <x:c r="B1622" s="18" t="n">
        <x:v>2158</x:v>
      </x:c>
      <x:c r="C1622" s="18" t="n">
        <x:v>2179.85</x:v>
      </x:c>
      <x:c r="D1622" s="18" t="n">
        <x:v>2155.72</x:v>
      </x:c>
      <x:c r="E1622" s="18" t="n">
        <x:v>2174.32</x:v>
      </x:c>
      <x:c r="F1622" s="19" t="n">
        <x:v>62440</x:v>
      </x:c>
    </x:row>
    <x:row r="1623">
      <x:c r="A1623" s="17" t="n">
        <x:v>45365</x:v>
      </x:c>
      <x:c r="B1623" s="18" t="n">
        <x:v>2174.54</x:v>
      </x:c>
      <x:c r="C1623" s="18" t="n">
        <x:v>2176.97</x:v>
      </x:c>
      <x:c r="D1623" s="18" t="n">
        <x:v>2152.75</x:v>
      </x:c>
      <x:c r="E1623" s="18" t="n">
        <x:v>2162.19</x:v>
      </x:c>
      <x:c r="F1623" s="19" t="n">
        <x:v>62755</x:v>
      </x:c>
    </x:row>
    <x:row r="1624">
      <x:c r="A1624" s="17" t="n">
        <x:v>45366</x:v>
      </x:c>
      <x:c r="B1624" s="18" t="n">
        <x:v>2162.32</x:v>
      </x:c>
      <x:c r="C1624" s="18" t="n">
        <x:v>2172.71</x:v>
      </x:c>
      <x:c r="D1624" s="18" t="n">
        <x:v>2155.17</x:v>
      </x:c>
      <x:c r="E1624" s="18" t="n">
        <x:v>2155.82</x:v>
      </x:c>
      <x:c r="F1624" s="19" t="n">
        <x:v>59222</x:v>
      </x:c>
    </x:row>
    <x:row r="1625">
      <x:c r="A1625" s="17" t="n">
        <x:v>45369</x:v>
      </x:c>
      <x:c r="B1625" s="18" t="n">
        <x:v>2153.03</x:v>
      </x:c>
      <x:c r="C1625" s="18" t="n">
        <x:v>2163.58</x:v>
      </x:c>
      <x:c r="D1625" s="18" t="n">
        <x:v>2146.08</x:v>
      </x:c>
      <x:c r="E1625" s="18" t="n">
        <x:v>2160.26</x:v>
      </x:c>
      <x:c r="F1625" s="19" t="n">
        <x:v>54955</x:v>
      </x:c>
    </x:row>
    <x:row r="1626">
      <x:c r="A1626" s="17" t="n">
        <x:v>45370</x:v>
      </x:c>
      <x:c r="B1626" s="18" t="n">
        <x:v>2160.11</x:v>
      </x:c>
      <x:c r="C1626" s="18" t="n">
        <x:v>2162.77</x:v>
      </x:c>
      <x:c r="D1626" s="18" t="n">
        <x:v>2147.14</x:v>
      </x:c>
      <x:c r="E1626" s="18" t="n">
        <x:v>2157.48</x:v>
      </x:c>
      <x:c r="F1626" s="19" t="n">
        <x:v>59875</x:v>
      </x:c>
    </x:row>
    <x:row r="1627">
      <x:c r="A1627" s="17" t="n">
        <x:v>45371</x:v>
      </x:c>
      <x:c r="B1627" s="18" t="n">
        <x:v>2157.7</x:v>
      </x:c>
      <x:c r="C1627" s="18" t="n">
        <x:v>2188.77</x:v>
      </x:c>
      <x:c r="D1627" s="18" t="n">
        <x:v>2149.61</x:v>
      </x:c>
      <x:c r="E1627" s="18" t="n">
        <x:v>2186.24</x:v>
      </x:c>
      <x:c r="F1627" s="19" t="n">
        <x:v>64224</x:v>
      </x:c>
    </x:row>
    <x:row r="1628">
      <x:c r="A1628" s="17" t="n">
        <x:v>45372</x:v>
      </x:c>
      <x:c r="B1628" s="18" t="n">
        <x:v>2187.18</x:v>
      </x:c>
      <x:c r="C1628" s="18" t="n">
        <x:v>2222.65</x:v>
      </x:c>
      <x:c r="D1628" s="18" t="n">
        <x:v>2166.43</x:v>
      </x:c>
      <x:c r="E1628" s="18" t="n">
        <x:v>2181.25</x:v>
      </x:c>
      <x:c r="F1628" s="19" t="n">
        <x:v>91384</x:v>
      </x:c>
    </x:row>
    <x:row r="1629">
      <x:c r="A1629" s="17" t="n">
        <x:v>45373</x:v>
      </x:c>
      <x:c r="B1629" s="18" t="n">
        <x:v>2181.51</x:v>
      </x:c>
      <x:c r="C1629" s="18" t="n">
        <x:v>2186.03</x:v>
      </x:c>
      <x:c r="D1629" s="18" t="n">
        <x:v>2157.09</x:v>
      </x:c>
      <x:c r="E1629" s="18" t="n">
        <x:v>2165.27</x:v>
      </x:c>
      <x:c r="F1629" s="19" t="n">
        <x:v>79823</x:v>
      </x:c>
    </x:row>
    <x:row r="1630">
      <x:c r="A1630" s="17" t="n">
        <x:v>45376</x:v>
      </x:c>
      <x:c r="B1630" s="18" t="n">
        <x:v>2165.9</x:v>
      </x:c>
      <x:c r="C1630" s="18" t="n">
        <x:v>2181.26</x:v>
      </x:c>
      <x:c r="D1630" s="18" t="n">
        <x:v>2163.5</x:v>
      </x:c>
      <x:c r="E1630" s="18" t="n">
        <x:v>2171.73</x:v>
      </x:c>
      <x:c r="F1630" s="19" t="n">
        <x:v>71161</x:v>
      </x:c>
    </x:row>
    <x:row r="1631">
      <x:c r="A1631" s="17" t="n">
        <x:v>45377</x:v>
      </x:c>
      <x:c r="B1631" s="18" t="n">
        <x:v>2171.6</x:v>
      </x:c>
      <x:c r="C1631" s="18" t="n">
        <x:v>2200.03</x:v>
      </x:c>
      <x:c r="D1631" s="18" t="n">
        <x:v>2167.57</x:v>
      </x:c>
      <x:c r="E1631" s="18" t="n">
        <x:v>2178.63</x:v>
      </x:c>
      <x:c r="F1631" s="19" t="n">
        <x:v>64112</x:v>
      </x:c>
    </x:row>
    <x:row r="1632">
      <x:c r="A1632" s="17" t="n">
        <x:v>45378</x:v>
      </x:c>
      <x:c r="B1632" s="18" t="n">
        <x:v>2178.08</x:v>
      </x:c>
      <x:c r="C1632" s="18" t="n">
        <x:v>2197.55</x:v>
      </x:c>
      <x:c r="D1632" s="18" t="n">
        <x:v>2172.87</x:v>
      </x:c>
      <x:c r="E1632" s="18" t="n">
        <x:v>2194.88</x:v>
      </x:c>
      <x:c r="F1632" s="19" t="n">
        <x:v>64882</x:v>
      </x:c>
    </x:row>
    <x:row r="1633">
      <x:c r="A1633" s="17" t="n">
        <x:v>45379</x:v>
      </x:c>
      <x:c r="B1633" s="18" t="n">
        <x:v>2193.4</x:v>
      </x:c>
      <x:c r="C1633" s="18" t="n">
        <x:v>2236.18</x:v>
      </x:c>
      <x:c r="D1633" s="18" t="n">
        <x:v>2187.27</x:v>
      </x:c>
      <x:c r="E1633" s="18" t="n">
        <x:v>2232.88</x:v>
      </x:c>
      <x:c r="F1633" s="19" t="n">
        <x:v>80479</x:v>
      </x:c>
    </x:row>
    <x:row r="1634">
      <x:c r="A1634" s="17" t="n">
        <x:v>45383</x:v>
      </x:c>
      <x:c r="B1634" s="18" t="n">
        <x:v>2241.94</x:v>
      </x:c>
      <x:c r="C1634" s="18" t="n">
        <x:v>2265.61</x:v>
      </x:c>
      <x:c r="D1634" s="18" t="n">
        <x:v>2228.51</x:v>
      </x:c>
      <x:c r="E1634" s="18" t="n">
        <x:v>2251.31</x:v>
      </x:c>
      <x:c r="F1634" s="19" t="n">
        <x:v>85503</x:v>
      </x:c>
    </x:row>
    <x:row r="1635">
      <x:c r="A1635" s="17" t="n">
        <x:v>45384</x:v>
      </x:c>
      <x:c r="B1635" s="18" t="n">
        <x:v>2251.24</x:v>
      </x:c>
      <x:c r="C1635" s="18" t="n">
        <x:v>2281.01</x:v>
      </x:c>
      <x:c r="D1635" s="18" t="n">
        <x:v>2246.67</x:v>
      </x:c>
      <x:c r="E1635" s="18" t="n">
        <x:v>2280.53</x:v>
      </x:c>
      <x:c r="F1635" s="19" t="n">
        <x:v>88872</x:v>
      </x:c>
    </x:row>
    <x:row r="1636">
      <x:c r="A1636" s="17" t="n">
        <x:v>45385</x:v>
      </x:c>
      <x:c r="B1636" s="18" t="n">
        <x:v>2279.92</x:v>
      </x:c>
      <x:c r="C1636" s="18" t="n">
        <x:v>2301.14</x:v>
      </x:c>
      <x:c r="D1636" s="18" t="n">
        <x:v>2265.42</x:v>
      </x:c>
      <x:c r="E1636" s="18" t="n">
        <x:v>2299.64</x:v>
      </x:c>
      <x:c r="F1636" s="19" t="n">
        <x:v>95443</x:v>
      </x:c>
    </x:row>
    <x:row r="1637">
      <x:c r="A1637" s="17" t="n">
        <x:v>45386</x:v>
      </x:c>
      <x:c r="B1637" s="18" t="n">
        <x:v>2299.56</x:v>
      </x:c>
      <x:c r="C1637" s="18" t="n">
        <x:v>2305.56</x:v>
      </x:c>
      <x:c r="D1637" s="18" t="n">
        <x:v>2279.95</x:v>
      </x:c>
      <x:c r="E1637" s="18" t="n">
        <x:v>2290.95</x:v>
      </x:c>
      <x:c r="F1637" s="19" t="n">
        <x:v>84664</x:v>
      </x:c>
    </x:row>
    <x:row r="1638">
      <x:c r="A1638" s="17" t="n">
        <x:v>45387</x:v>
      </x:c>
      <x:c r="B1638" s="18" t="n">
        <x:v>2291.03</x:v>
      </x:c>
      <x:c r="C1638" s="18" t="n">
        <x:v>2330.44</x:v>
      </x:c>
      <x:c r="D1638" s="18" t="n">
        <x:v>2267.75</x:v>
      </x:c>
      <x:c r="E1638" s="18" t="n">
        <x:v>2329.28</x:v>
      </x:c>
      <x:c r="F1638" s="19" t="n">
        <x:v>91616</x:v>
      </x:c>
    </x:row>
    <x:row r="1639">
      <x:c r="A1639" s="17" t="n">
        <x:v>45390</x:v>
      </x:c>
      <x:c r="B1639" s="18" t="n">
        <x:v>2324.16</x:v>
      </x:c>
      <x:c r="C1639" s="18" t="n">
        <x:v>2353.84</x:v>
      </x:c>
      <x:c r="D1639" s="18" t="n">
        <x:v>2302.9</x:v>
      </x:c>
      <x:c r="E1639" s="18" t="n">
        <x:v>2338.82</x:v>
      </x:c>
      <x:c r="F1639" s="19" t="n">
        <x:v>109825</x:v>
      </x:c>
    </x:row>
    <x:row r="1640">
      <x:c r="A1640" s="17" t="n">
        <x:v>45391</x:v>
      </x:c>
      <x:c r="B1640" s="18" t="n">
        <x:v>2338.74</x:v>
      </x:c>
      <x:c r="C1640" s="18" t="n">
        <x:v>2365.28</x:v>
      </x:c>
      <x:c r="D1640" s="18" t="n">
        <x:v>2336.97</x:v>
      </x:c>
      <x:c r="E1640" s="18" t="n">
        <x:v>2352.22</x:v>
      </x:c>
      <x:c r="F1640" s="19" t="n">
        <x:v>104663</x:v>
      </x:c>
    </x:row>
    <x:row r="1641">
      <x:c r="A1641" s="17" t="n">
        <x:v>45392</x:v>
      </x:c>
      <x:c r="B1641" s="18" t="n">
        <x:v>2352.62</x:v>
      </x:c>
      <x:c r="C1641" s="18" t="n">
        <x:v>2360.03</x:v>
      </x:c>
      <x:c r="D1641" s="18" t="n">
        <x:v>2319.43</x:v>
      </x:c>
      <x:c r="E1641" s="18" t="n">
        <x:v>2333.55</x:v>
      </x:c>
      <x:c r="F1641" s="19" t="n">
        <x:v>101113</x:v>
      </x:c>
    </x:row>
    <x:row r="1642">
      <x:c r="A1642" s="17" t="n">
        <x:v>45393</x:v>
      </x:c>
      <x:c r="B1642" s="18" t="n">
        <x:v>2334</x:v>
      </x:c>
      <x:c r="C1642" s="18" t="n">
        <x:v>2377.64</x:v>
      </x:c>
      <x:c r="D1642" s="18" t="n">
        <x:v>2325.85</x:v>
      </x:c>
      <x:c r="E1642" s="18" t="n">
        <x:v>2372.41</x:v>
      </x:c>
      <x:c r="F1642" s="19" t="n">
        <x:v>102815</x:v>
      </x:c>
    </x:row>
    <x:row r="1643">
      <x:c r="A1643" s="17" t="n">
        <x:v>45394</x:v>
      </x:c>
      <x:c r="B1643" s="18" t="n">
        <x:v>2371.47</x:v>
      </x:c>
      <x:c r="C1643" s="18" t="n">
        <x:v>2431.44</x:v>
      </x:c>
      <x:c r="D1643" s="18" t="n">
        <x:v>2333.86</x:v>
      </x:c>
      <x:c r="E1643" s="18" t="n">
        <x:v>2344.22</x:v>
      </x:c>
      <x:c r="F1643" s="19" t="n">
        <x:v>128042</x:v>
      </x:c>
    </x:row>
    <x:row r="1644">
      <x:c r="A1644" s="17" t="n">
        <x:v>45397</x:v>
      </x:c>
      <x:c r="B1644" s="18" t="n">
        <x:v>2355.6</x:v>
      </x:c>
      <x:c r="C1644" s="18" t="n">
        <x:v>2387.51</x:v>
      </x:c>
      <x:c r="D1644" s="18" t="n">
        <x:v>2323.98</x:v>
      </x:c>
      <x:c r="E1644" s="18" t="n">
        <x:v>2383.1</x:v>
      </x:c>
      <x:c r="F1644" s="19" t="n">
        <x:v>115908</x:v>
      </x:c>
    </x:row>
    <x:row r="1645">
      <x:c r="A1645" s="17" t="n">
        <x:v>45398</x:v>
      </x:c>
      <x:c r="B1645" s="18" t="n">
        <x:v>2382.38</x:v>
      </x:c>
      <x:c r="C1645" s="18" t="n">
        <x:v>2398.18</x:v>
      </x:c>
      <x:c r="D1645" s="18" t="n">
        <x:v>2362.99</x:v>
      </x:c>
      <x:c r="E1645" s="18" t="n">
        <x:v>2382.85</x:v>
      </x:c>
      <x:c r="F1645" s="19" t="n">
        <x:v>114793</x:v>
      </x:c>
    </x:row>
    <x:row r="1646">
      <x:c r="A1646" s="17" t="n">
        <x:v>45399</x:v>
      </x:c>
      <x:c r="B1646" s="18" t="n">
        <x:v>2382.53</x:v>
      </x:c>
      <x:c r="C1646" s="18" t="n">
        <x:v>2395.53</x:v>
      </x:c>
      <x:c r="D1646" s="18" t="n">
        <x:v>2354.54</x:v>
      </x:c>
      <x:c r="E1646" s="18" t="n">
        <x:v>2361.16</x:v>
      </x:c>
      <x:c r="F1646" s="19" t="n">
        <x:v>104392</x:v>
      </x:c>
    </x:row>
    <x:row r="1647">
      <x:c r="A1647" s="17" t="n">
        <x:v>45400</x:v>
      </x:c>
      <x:c r="B1647" s="18" t="n">
        <x:v>2361.37</x:v>
      </x:c>
      <x:c r="C1647" s="18" t="n">
        <x:v>2392.76</x:v>
      </x:c>
      <x:c r="D1647" s="18" t="n">
        <x:v>2361.37</x:v>
      </x:c>
      <x:c r="E1647" s="18" t="n">
        <x:v>2378.86</x:v>
      </x:c>
      <x:c r="F1647" s="19" t="n">
        <x:v>118369</x:v>
      </x:c>
    </x:row>
    <x:row r="1648">
      <x:c r="A1648" s="17" t="n">
        <x:v>45401</x:v>
      </x:c>
      <x:c r="B1648" s="18" t="n">
        <x:v>2379.14</x:v>
      </x:c>
      <x:c r="C1648" s="18" t="n">
        <x:v>2417.83</x:v>
      </x:c>
      <x:c r="D1648" s="18" t="n">
        <x:v>2372.91</x:v>
      </x:c>
      <x:c r="E1648" s="18" t="n">
        <x:v>2390.63</x:v>
      </x:c>
      <x:c r="F1648" s="19" t="n">
        <x:v>146435</x:v>
      </x:c>
    </x:row>
    <x:row r="1649">
      <x:c r="A1649" s="17" t="n">
        <x:v>45404</x:v>
      </x:c>
      <x:c r="B1649" s="18" t="n">
        <x:v>2389.8</x:v>
      </x:c>
      <x:c r="C1649" s="18" t="n">
        <x:v>2389.8</x:v>
      </x:c>
      <x:c r="D1649" s="18" t="n">
        <x:v>2324.47</x:v>
      </x:c>
      <x:c r="E1649" s="18" t="n">
        <x:v>2327.25</x:v>
      </x:c>
      <x:c r="F1649" s="19" t="n">
        <x:v>81603</x:v>
      </x:c>
    </x:row>
    <x:row r="1650">
      <x:c r="A1650" s="17" t="n">
        <x:v>45405</x:v>
      </x:c>
      <x:c r="B1650" s="18" t="n">
        <x:v>2327.71</x:v>
      </x:c>
      <x:c r="C1650" s="18" t="n">
        <x:v>2334.34</x:v>
      </x:c>
      <x:c r="D1650" s="18" t="n">
        <x:v>2291.39</x:v>
      </x:c>
      <x:c r="E1650" s="18" t="n">
        <x:v>2322.11</x:v>
      </x:c>
      <x:c r="F1650" s="19" t="n">
        <x:v>79380</x:v>
      </x:c>
    </x:row>
    <x:row r="1651">
      <x:c r="A1651" s="17" t="n">
        <x:v>45406</x:v>
      </x:c>
      <x:c r="B1651" s="18" t="n">
        <x:v>2322.44</x:v>
      </x:c>
      <x:c r="C1651" s="18" t="n">
        <x:v>2337.19</x:v>
      </x:c>
      <x:c r="D1651" s="18" t="n">
        <x:v>2311.78</x:v>
      </x:c>
      <x:c r="E1651" s="18" t="n">
        <x:v>2315.96</x:v>
      </x:c>
      <x:c r="F1651" s="19" t="n">
        <x:v>71554</x:v>
      </x:c>
    </x:row>
    <x:row r="1652">
      <x:c r="A1652" s="17" t="n">
        <x:v>45407</x:v>
      </x:c>
      <x:c r="B1652" s="18" t="n">
        <x:v>2315.96</x:v>
      </x:c>
      <x:c r="C1652" s="18" t="n">
        <x:v>2344.8</x:v>
      </x:c>
      <x:c r="D1652" s="18" t="n">
        <x:v>2304.8</x:v>
      </x:c>
      <x:c r="E1652" s="18" t="n">
        <x:v>2332.37</x:v>
      </x:c>
      <x:c r="F1652" s="19" t="n">
        <x:v>70251</x:v>
      </x:c>
    </x:row>
    <x:row r="1653">
      <x:c r="A1653" s="17" t="n">
        <x:v>45408</x:v>
      </x:c>
      <x:c r="B1653" s="18" t="n">
        <x:v>2332.35</x:v>
      </x:c>
      <x:c r="C1653" s="18" t="n">
        <x:v>2352.5</x:v>
      </x:c>
      <x:c r="D1653" s="18" t="n">
        <x:v>2326.17</x:v>
      </x:c>
      <x:c r="E1653" s="18" t="n">
        <x:v>2337.78</x:v>
      </x:c>
      <x:c r="F1653" s="19" t="n">
        <x:v>65473</x:v>
      </x:c>
    </x:row>
    <x:row r="1654">
      <x:c r="A1654" s="17" t="n">
        <x:v>45411</x:v>
      </x:c>
      <x:c r="B1654" s="18" t="n">
        <x:v>2337.22</x:v>
      </x:c>
      <x:c r="C1654" s="18" t="n">
        <x:v>2346.63</x:v>
      </x:c>
      <x:c r="D1654" s="18" t="n">
        <x:v>2320.04</x:v>
      </x:c>
      <x:c r="E1654" s="18" t="n">
        <x:v>2335.36</x:v>
      </x:c>
      <x:c r="F1654" s="19" t="n">
        <x:v>70726</x:v>
      </x:c>
    </x:row>
    <x:row r="1655">
      <x:c r="A1655" s="17" t="n">
        <x:v>45412</x:v>
      </x:c>
      <x:c r="B1655" s="18" t="n">
        <x:v>2335.31</x:v>
      </x:c>
      <x:c r="C1655" s="18" t="n">
        <x:v>2336.23</x:v>
      </x:c>
      <x:c r="D1655" s="18" t="n">
        <x:v>2285.04</x:v>
      </x:c>
      <x:c r="E1655" s="18" t="n">
        <x:v>2286.3</x:v>
      </x:c>
      <x:c r="F1655" s="19" t="n">
        <x:v>72307</x:v>
      </x:c>
    </x:row>
    <x:row r="1656">
      <x:c r="A1656" s="17" t="n">
        <x:v>45413</x:v>
      </x:c>
      <x:c r="B1656" s="18" t="n">
        <x:v>2286.76</x:v>
      </x:c>
      <x:c r="C1656" s="18" t="n">
        <x:v>2328.2</x:v>
      </x:c>
      <x:c r="D1656" s="18" t="n">
        <x:v>2281.63</x:v>
      </x:c>
      <x:c r="E1656" s="18" t="n">
        <x:v>2319.48</x:v>
      </x:c>
      <x:c r="F1656" s="19" t="n">
        <x:v>70204</x:v>
      </x:c>
    </x:row>
    <x:row r="1657">
      <x:c r="A1657" s="17" t="n">
        <x:v>45414</x:v>
      </x:c>
      <x:c r="B1657" s="18" t="n">
        <x:v>2321.02</x:v>
      </x:c>
      <x:c r="C1657" s="18" t="n">
        <x:v>2326.43</x:v>
      </x:c>
      <x:c r="D1657" s="18" t="n">
        <x:v>2285.5</x:v>
      </x:c>
      <x:c r="E1657" s="18" t="n">
        <x:v>2303.51</x:v>
      </x:c>
      <x:c r="F1657" s="19" t="n">
        <x:v>69461</x:v>
      </x:c>
    </x:row>
    <x:row r="1658">
      <x:c r="A1658" s="17" t="n">
        <x:v>45415</x:v>
      </x:c>
      <x:c r="B1658" s="18" t="n">
        <x:v>2303.93</x:v>
      </x:c>
      <x:c r="C1658" s="18" t="n">
        <x:v>2320.59</x:v>
      </x:c>
      <x:c r="D1658" s="18" t="n">
        <x:v>2277.38</x:v>
      </x:c>
      <x:c r="E1658" s="18" t="n">
        <x:v>2301.67</x:v>
      </x:c>
      <x:c r="F1658" s="19" t="n">
        <x:v>67506</x:v>
      </x:c>
    </x:row>
    <x:row r="1659">
      <x:c r="A1659" s="17" t="n">
        <x:v>45418</x:v>
      </x:c>
      <x:c r="B1659" s="18" t="n">
        <x:v>2304.58</x:v>
      </x:c>
      <x:c r="C1659" s="18" t="n">
        <x:v>2331.99</x:v>
      </x:c>
      <x:c r="D1659" s="18" t="n">
        <x:v>2291.79</x:v>
      </x:c>
      <x:c r="E1659" s="18" t="n">
        <x:v>2323.76</x:v>
      </x:c>
      <x:c r="F1659" s="19" t="n">
        <x:v>74940</x:v>
      </x:c>
    </x:row>
    <x:row r="1660">
      <x:c r="A1660" s="17" t="n">
        <x:v>45419</x:v>
      </x:c>
      <x:c r="B1660" s="18" t="n">
        <x:v>2324.06</x:v>
      </x:c>
      <x:c r="C1660" s="18" t="n">
        <x:v>2329.88</x:v>
      </x:c>
      <x:c r="D1660" s="18" t="n">
        <x:v>2310.01</x:v>
      </x:c>
      <x:c r="E1660" s="18" t="n">
        <x:v>2313.83</x:v>
      </x:c>
      <x:c r="F1660" s="19" t="n">
        <x:v>65539</x:v>
      </x:c>
    </x:row>
    <x:row r="1661">
      <x:c r="A1661" s="17" t="n">
        <x:v>45420</x:v>
      </x:c>
      <x:c r="B1661" s="18" t="n">
        <x:v>2314.22</x:v>
      </x:c>
      <x:c r="C1661" s="18" t="n">
        <x:v>2321.32</x:v>
      </x:c>
      <x:c r="D1661" s="18" t="n">
        <x:v>2303.72</x:v>
      </x:c>
      <x:c r="E1661" s="18" t="n">
        <x:v>2308.83</x:v>
      </x:c>
      <x:c r="F1661" s="19" t="n">
        <x:v>69498</x:v>
      </x:c>
    </x:row>
    <x:row r="1662">
      <x:c r="A1662" s="17" t="n">
        <x:v>45421</x:v>
      </x:c>
      <x:c r="B1662" s="18" t="n">
        <x:v>2308.69</x:v>
      </x:c>
      <x:c r="C1662" s="18" t="n">
        <x:v>2347.17</x:v>
      </x:c>
      <x:c r="D1662" s="18" t="n">
        <x:v>2306.73</x:v>
      </x:c>
      <x:c r="E1662" s="18" t="n">
        <x:v>2346.02</x:v>
      </x:c>
      <x:c r="F1662" s="19" t="n">
        <x:v>68792</x:v>
      </x:c>
    </x:row>
    <x:row r="1663">
      <x:c r="A1663" s="17" t="n">
        <x:v>45422</x:v>
      </x:c>
      <x:c r="B1663" s="18" t="n">
        <x:v>2346.33</x:v>
      </x:c>
      <x:c r="C1663" s="18" t="n">
        <x:v>2378.32</x:v>
      </x:c>
      <x:c r="D1663" s="18" t="n">
        <x:v>2345.04</x:v>
      </x:c>
      <x:c r="E1663" s="18" t="n">
        <x:v>2360.47</x:v>
      </x:c>
      <x:c r="F1663" s="19" t="n">
        <x:v>73168</x:v>
      </x:c>
    </x:row>
    <x:row r="1664">
      <x:c r="A1664" s="17" t="n">
        <x:v>45425</x:v>
      </x:c>
      <x:c r="B1664" s="18" t="n">
        <x:v>2361.9</x:v>
      </x:c>
      <x:c r="C1664" s="18" t="n">
        <x:v>2364.42</x:v>
      </x:c>
      <x:c r="D1664" s="18" t="n">
        <x:v>2332.11</x:v>
      </x:c>
      <x:c r="E1664" s="18" t="n">
        <x:v>2336.14</x:v>
      </x:c>
      <x:c r="F1664" s="19" t="n">
        <x:v>67281</x:v>
      </x:c>
    </x:row>
    <x:row r="1665">
      <x:c r="A1665" s="17" t="n">
        <x:v>45426</x:v>
      </x:c>
      <x:c r="B1665" s="18" t="n">
        <x:v>2336.13</x:v>
      </x:c>
      <x:c r="C1665" s="18" t="n">
        <x:v>2359.61</x:v>
      </x:c>
      <x:c r="D1665" s="18" t="n">
        <x:v>2334.84</x:v>
      </x:c>
      <x:c r="E1665" s="18" t="n">
        <x:v>2358</x:v>
      </x:c>
      <x:c r="F1665" s="19" t="n">
        <x:v>68341</x:v>
      </x:c>
    </x:row>
    <x:row r="1666">
      <x:c r="A1666" s="17" t="n">
        <x:v>45427</x:v>
      </x:c>
      <x:c r="B1666" s="18" t="n">
        <x:v>2358.02</x:v>
      </x:c>
      <x:c r="C1666" s="18" t="n">
        <x:v>2390.23</x:v>
      </x:c>
      <x:c r="D1666" s="18" t="n">
        <x:v>2351.84</x:v>
      </x:c>
      <x:c r="E1666" s="18" t="n">
        <x:v>2385.76</x:v>
      </x:c>
      <x:c r="F1666" s="19" t="n">
        <x:v>70090</x:v>
      </x:c>
    </x:row>
    <x:row r="1667">
      <x:c r="A1667" s="17" t="n">
        <x:v>45428</x:v>
      </x:c>
      <x:c r="B1667" s="18" t="n">
        <x:v>2385.6</x:v>
      </x:c>
      <x:c r="C1667" s="18" t="n">
        <x:v>2397.25</x:v>
      </x:c>
      <x:c r="D1667" s="18" t="n">
        <x:v>2371.02</x:v>
      </x:c>
      <x:c r="E1667" s="18" t="n">
        <x:v>2376.72</x:v>
      </x:c>
      <x:c r="F1667" s="19" t="n">
        <x:v>81190</x:v>
      </x:c>
    </x:row>
    <x:row r="1668">
      <x:c r="A1668" s="17" t="n">
        <x:v>45429</x:v>
      </x:c>
      <x:c r="B1668" s="18" t="n">
        <x:v>2377.11</x:v>
      </x:c>
      <x:c r="C1668" s="18" t="n">
        <x:v>2422.74</x:v>
      </x:c>
      <x:c r="D1668" s="18" t="n">
        <x:v>2374.05</x:v>
      </x:c>
      <x:c r="E1668" s="18" t="n">
        <x:v>2413.84</x:v>
      </x:c>
      <x:c r="F1668" s="19" t="n">
        <x:v>80348</x:v>
      </x:c>
    </x:row>
    <x:row r="1669">
      <x:c r="A1669" s="17" t="n">
        <x:v>45432</x:v>
      </x:c>
      <x:c r="B1669" s="18" t="n">
        <x:v>2418.33</x:v>
      </x:c>
      <x:c r="C1669" s="18" t="n">
        <x:v>2450.07</x:v>
      </x:c>
      <x:c r="D1669" s="18" t="n">
        <x:v>2407.4</x:v>
      </x:c>
      <x:c r="E1669" s="18" t="n">
        <x:v>2426.22</x:v>
      </x:c>
      <x:c r="F1669" s="19" t="n">
        <x:v>102705</x:v>
      </x:c>
    </x:row>
    <x:row r="1670">
      <x:c r="A1670" s="17" t="n">
        <x:v>45433</x:v>
      </x:c>
      <x:c r="B1670" s="18" t="n">
        <x:v>2426.3</x:v>
      </x:c>
      <x:c r="C1670" s="18" t="n">
        <x:v>2433.83</x:v>
      </x:c>
      <x:c r="D1670" s="18" t="n">
        <x:v>2406.43</x:v>
      </x:c>
      <x:c r="E1670" s="18" t="n">
        <x:v>2420.88</x:v>
      </x:c>
      <x:c r="F1670" s="19" t="n">
        <x:v>93414</x:v>
      </x:c>
    </x:row>
    <x:row r="1671">
      <x:c r="A1671" s="17" t="n">
        <x:v>45434</x:v>
      </x:c>
      <x:c r="B1671" s="18" t="n">
        <x:v>2421.44</x:v>
      </x:c>
      <x:c r="C1671" s="18" t="n">
        <x:v>2426.59</x:v>
      </x:c>
      <x:c r="D1671" s="18" t="n">
        <x:v>2375.06</x:v>
      </x:c>
      <x:c r="E1671" s="18" t="n">
        <x:v>2378.58</x:v>
      </x:c>
      <x:c r="F1671" s="19" t="n">
        <x:v>94728</x:v>
      </x:c>
    </x:row>
    <x:row r="1672">
      <x:c r="A1672" s="17" t="n">
        <x:v>45435</x:v>
      </x:c>
      <x:c r="B1672" s="18" t="n">
        <x:v>2379.66</x:v>
      </x:c>
      <x:c r="C1672" s="18" t="n">
        <x:v>2383.66</x:v>
      </x:c>
      <x:c r="D1672" s="18" t="n">
        <x:v>2326.68</x:v>
      </x:c>
      <x:c r="E1672" s="18" t="n">
        <x:v>2328.55</x:v>
      </x:c>
      <x:c r="F1672" s="19" t="n">
        <x:v>92448</x:v>
      </x:c>
    </x:row>
    <x:row r="1673">
      <x:c r="A1673" s="17" t="n">
        <x:v>45436</x:v>
      </x:c>
      <x:c r="B1673" s="18" t="n">
        <x:v>2328.95</x:v>
      </x:c>
      <x:c r="C1673" s="18" t="n">
        <x:v>2347.37</x:v>
      </x:c>
      <x:c r="D1673" s="18" t="n">
        <x:v>2325.46</x:v>
      </x:c>
      <x:c r="E1673" s="18" t="n">
        <x:v>2333.86</x:v>
      </x:c>
      <x:c r="F1673" s="19" t="n">
        <x:v>79071</x:v>
      </x:c>
    </x:row>
    <x:row r="1674">
      <x:c r="A1674" s="17" t="n">
        <x:v>45439</x:v>
      </x:c>
      <x:c r="B1674" s="18" t="n">
        <x:v>2338.09</x:v>
      </x:c>
      <x:c r="C1674" s="18" t="n">
        <x:v>2358.52</x:v>
      </x:c>
      <x:c r="D1674" s="18" t="n">
        <x:v>2331.68</x:v>
      </x:c>
      <x:c r="E1674" s="18" t="n">
        <x:v>2350.08</x:v>
      </x:c>
      <x:c r="F1674" s="19" t="n">
        <x:v>60652</x:v>
      </x:c>
    </x:row>
    <x:row r="1675">
      <x:c r="A1675" s="17" t="n">
        <x:v>45440</x:v>
      </x:c>
      <x:c r="B1675" s="18" t="n">
        <x:v>2351.47</x:v>
      </x:c>
      <x:c r="C1675" s="18" t="n">
        <x:v>2364.14</x:v>
      </x:c>
      <x:c r="D1675" s="18" t="n">
        <x:v>2340.32</x:v>
      </x:c>
      <x:c r="E1675" s="18" t="n">
        <x:v>2361.13</x:v>
      </x:c>
      <x:c r="F1675" s="19" t="n">
        <x:v>84124</x:v>
      </x:c>
    </x:row>
    <x:row r="1676">
      <x:c r="A1676" s="17" t="n">
        <x:v>45441</x:v>
      </x:c>
      <x:c r="B1676" s="18" t="n">
        <x:v>2360.95</x:v>
      </x:c>
      <x:c r="C1676" s="18" t="n">
        <x:v>2362.66</x:v>
      </x:c>
      <x:c r="D1676" s="18" t="n">
        <x:v>2334.61</x:v>
      </x:c>
      <x:c r="E1676" s="18" t="n">
        <x:v>2338</x:v>
      </x:c>
      <x:c r="F1676" s="19" t="n">
        <x:v>86223</x:v>
      </x:c>
    </x:row>
    <x:row r="1677">
      <x:c r="A1677" s="17" t="n">
        <x:v>45442</x:v>
      </x:c>
      <x:c r="B1677" s="18" t="n">
        <x:v>2337.88</x:v>
      </x:c>
      <x:c r="C1677" s="18" t="n">
        <x:v>2351.77</x:v>
      </x:c>
      <x:c r="D1677" s="18" t="n">
        <x:v>2322.74</x:v>
      </x:c>
      <x:c r="E1677" s="18" t="n">
        <x:v>2342.98</x:v>
      </x:c>
      <x:c r="F1677" s="19" t="n">
        <x:v>90714</x:v>
      </x:c>
    </x:row>
    <x:row r="1678">
      <x:c r="A1678" s="17" t="n">
        <x:v>45443</x:v>
      </x:c>
      <x:c r="B1678" s="18" t="n">
        <x:v>2344.26</x:v>
      </x:c>
      <x:c r="C1678" s="18" t="n">
        <x:v>2359.8</x:v>
      </x:c>
      <x:c r="D1678" s="18" t="n">
        <x:v>2320.6</x:v>
      </x:c>
      <x:c r="E1678" s="18" t="n">
        <x:v>2327.46</x:v>
      </x:c>
      <x:c r="F1678" s="19" t="n">
        <x:v>91884</x:v>
      </x:c>
    </x:row>
    <x:row r="1679">
      <x:c r="A1679" s="17" t="n">
        <x:v>45446</x:v>
      </x:c>
      <x:c r="B1679" s="18" t="n">
        <x:v>2328.79</x:v>
      </x:c>
      <x:c r="C1679" s="18" t="n">
        <x:v>2354.76</x:v>
      </x:c>
      <x:c r="D1679" s="18" t="n">
        <x:v>2314.77</x:v>
      </x:c>
      <x:c r="E1679" s="18" t="n">
        <x:v>2350.45</x:v>
      </x:c>
      <x:c r="F1679" s="19" t="n">
        <x:v>88083</x:v>
      </x:c>
    </x:row>
    <x:row r="1680">
      <x:c r="A1680" s="17" t="n">
        <x:v>45447</x:v>
      </x:c>
      <x:c r="B1680" s="18" t="n">
        <x:v>2351.9</x:v>
      </x:c>
      <x:c r="C1680" s="18" t="n">
        <x:v>2352.83</x:v>
      </x:c>
      <x:c r="D1680" s="18" t="n">
        <x:v>2315.62</x:v>
      </x:c>
      <x:c r="E1680" s="18" t="n">
        <x:v>2326.79</x:v>
      </x:c>
      <x:c r="F1680" s="19" t="n">
        <x:v>87040</x:v>
      </x:c>
    </x:row>
    <x:row r="1681">
      <x:c r="A1681" s="17" t="n">
        <x:v>45448</x:v>
      </x:c>
      <x:c r="B1681" s="18" t="n">
        <x:v>2326.69</x:v>
      </x:c>
      <x:c r="C1681" s="18" t="n">
        <x:v>2357.41</x:v>
      </x:c>
      <x:c r="D1681" s="18" t="n">
        <x:v>2325.92</x:v>
      </x:c>
      <x:c r="E1681" s="18" t="n">
        <x:v>2355.13</x:v>
      </x:c>
      <x:c r="F1681" s="19" t="n">
        <x:v>80955</x:v>
      </x:c>
    </x:row>
    <x:row r="1682">
      <x:c r="A1682" s="17" t="n">
        <x:v>45449</x:v>
      </x:c>
      <x:c r="B1682" s="18" t="n">
        <x:v>2356.8</x:v>
      </x:c>
      <x:c r="C1682" s="18" t="n">
        <x:v>2378.5</x:v>
      </x:c>
      <x:c r="D1682" s="18" t="n">
        <x:v>2353.44</x:v>
      </x:c>
      <x:c r="E1682" s="18" t="n">
        <x:v>2375.68</x:v>
      </x:c>
      <x:c r="F1682" s="19" t="n">
        <x:v>81010</x:v>
      </x:c>
    </x:row>
    <x:row r="1683">
      <x:c r="A1683" s="17" t="n">
        <x:v>45450</x:v>
      </x:c>
      <x:c r="B1683" s="18" t="n">
        <x:v>2376.34</x:v>
      </x:c>
      <x:c r="C1683" s="18" t="n">
        <x:v>2387.69</x:v>
      </x:c>
      <x:c r="D1683" s="18" t="n">
        <x:v>2286.71</x:v>
      </x:c>
      <x:c r="E1683" s="18" t="n">
        <x:v>2293.38</x:v>
      </x:c>
      <x:c r="F1683" s="19" t="n">
        <x:v>99238</x:v>
      </x:c>
    </x:row>
    <x:row r="1684">
      <x:c r="A1684" s="17" t="n">
        <x:v>45453</x:v>
      </x:c>
      <x:c r="B1684" s="18" t="n">
        <x:v>2294.71</x:v>
      </x:c>
      <x:c r="C1684" s="18" t="n">
        <x:v>2313.84</x:v>
      </x:c>
      <x:c r="D1684" s="18" t="n">
        <x:v>2287.78</x:v>
      </x:c>
      <x:c r="E1684" s="18" t="n">
        <x:v>2310.86</x:v>
      </x:c>
      <x:c r="F1684" s="19" t="n">
        <x:v>75938</x:v>
      </x:c>
    </x:row>
    <x:row r="1685">
      <x:c r="A1685" s="17" t="n">
        <x:v>45454</x:v>
      </x:c>
      <x:c r="B1685" s="18" t="n">
        <x:v>2312.03</x:v>
      </x:c>
      <x:c r="C1685" s="18" t="n">
        <x:v>2319.94</x:v>
      </x:c>
      <x:c r="D1685" s="18" t="n">
        <x:v>2297.75</x:v>
      </x:c>
      <x:c r="E1685" s="18" t="n">
        <x:v>2316.73</x:v>
      </x:c>
      <x:c r="F1685" s="19" t="n">
        <x:v>86222</x:v>
      </x:c>
    </x:row>
    <x:row r="1686">
      <x:c r="A1686" s="17" t="n">
        <x:v>45455</x:v>
      </x:c>
      <x:c r="B1686" s="18" t="n">
        <x:v>2317.07</x:v>
      </x:c>
      <x:c r="C1686" s="18" t="n">
        <x:v>2341.66</x:v>
      </x:c>
      <x:c r="D1686" s="18" t="n">
        <x:v>2310.75</x:v>
      </x:c>
      <x:c r="E1686" s="18" t="n">
        <x:v>2324.88</x:v>
      </x:c>
      <x:c r="F1686" s="19" t="n">
        <x:v>84926</x:v>
      </x:c>
    </x:row>
    <x:row r="1687">
      <x:c r="A1687" s="17" t="n">
        <x:v>45456</x:v>
      </x:c>
      <x:c r="B1687" s="18" t="n">
        <x:v>2324.83</x:v>
      </x:c>
      <x:c r="C1687" s="18" t="n">
        <x:v>2326.67</x:v>
      </x:c>
      <x:c r="D1687" s="18" t="n">
        <x:v>2295.67</x:v>
      </x:c>
      <x:c r="E1687" s="18" t="n">
        <x:v>2303.85</x:v>
      </x:c>
      <x:c r="F1687" s="19" t="n">
        <x:v>82589</x:v>
      </x:c>
    </x:row>
    <x:row r="1688">
      <x:c r="A1688" s="17" t="n">
        <x:v>45457</x:v>
      </x:c>
      <x:c r="B1688" s="18" t="n">
        <x:v>2304.18</x:v>
      </x:c>
      <x:c r="C1688" s="18" t="n">
        <x:v>2336.59</x:v>
      </x:c>
      <x:c r="D1688" s="18" t="n">
        <x:v>2301.62</x:v>
      </x:c>
      <x:c r="E1688" s="18" t="n">
        <x:v>2332.6</x:v>
      </x:c>
      <x:c r="F1688" s="19" t="n">
        <x:v>82624</x:v>
      </x:c>
    </x:row>
    <x:row r="1689">
      <x:c r="A1689" s="17" t="n">
        <x:v>45460</x:v>
      </x:c>
      <x:c r="B1689" s="18" t="n">
        <x:v>2331.47</x:v>
      </x:c>
      <x:c r="C1689" s="18" t="n">
        <x:v>2332.87</x:v>
      </x:c>
      <x:c r="D1689" s="18" t="n">
        <x:v>2310.03</x:v>
      </x:c>
      <x:c r="E1689" s="18" t="n">
        <x:v>2318.96</x:v>
      </x:c>
      <x:c r="F1689" s="19" t="n">
        <x:v>78647</x:v>
      </x:c>
    </x:row>
    <x:row r="1690">
      <x:c r="A1690" s="17" t="n">
        <x:v>45461</x:v>
      </x:c>
      <x:c r="B1690" s="18" t="n">
        <x:v>2319.05</x:v>
      </x:c>
      <x:c r="C1690" s="18" t="n">
        <x:v>2333.11</x:v>
      </x:c>
      <x:c r="D1690" s="18" t="n">
        <x:v>2306.64</x:v>
      </x:c>
      <x:c r="E1690" s="18" t="n">
        <x:v>2329.34</x:v>
      </x:c>
      <x:c r="F1690" s="19" t="n">
        <x:v>76408</x:v>
      </x:c>
    </x:row>
    <x:row r="1691">
      <x:c r="A1691" s="17" t="n">
        <x:v>45462</x:v>
      </x:c>
      <x:c r="B1691" s="18" t="n">
        <x:v>2329.3</x:v>
      </x:c>
      <x:c r="C1691" s="18" t="n">
        <x:v>2335.06</x:v>
      </x:c>
      <x:c r="D1691" s="18" t="n">
        <x:v>2323.92</x:v>
      </x:c>
      <x:c r="E1691" s="18" t="n">
        <x:v>2327.98</x:v>
      </x:c>
      <x:c r="F1691" s="19" t="n">
        <x:v>53316</x:v>
      </x:c>
    </x:row>
    <x:row r="1692">
      <x:c r="A1692" s="17" t="n">
        <x:v>45463</x:v>
      </x:c>
      <x:c r="B1692" s="18" t="n">
        <x:v>2329.07</x:v>
      </x:c>
      <x:c r="C1692" s="18" t="n">
        <x:v>2365.46</x:v>
      </x:c>
      <x:c r="D1692" s="18" t="n">
        <x:v>2327.81</x:v>
      </x:c>
      <x:c r="E1692" s="18" t="n">
        <x:v>2360.02</x:v>
      </x:c>
      <x:c r="F1692" s="19" t="n">
        <x:v>77250</x:v>
      </x:c>
    </x:row>
    <x:row r="1693">
      <x:c r="A1693" s="17" t="n">
        <x:v>45464</x:v>
      </x:c>
      <x:c r="B1693" s="18" t="n">
        <x:v>2360.71</x:v>
      </x:c>
      <x:c r="C1693" s="18" t="n">
        <x:v>2368.73</x:v>
      </x:c>
      <x:c r="D1693" s="18" t="n">
        <x:v>2316.7</x:v>
      </x:c>
      <x:c r="E1693" s="18" t="n">
        <x:v>2321.42</x:v>
      </x:c>
      <x:c r="F1693" s="19" t="n">
        <x:v>81924</x:v>
      </x:c>
    </x:row>
    <x:row r="1694">
      <x:c r="A1694" s="17" t="n">
        <x:v>45467</x:v>
      </x:c>
      <x:c r="B1694" s="18" t="n">
        <x:v>2321.36</x:v>
      </x:c>
      <x:c r="C1694" s="18" t="n">
        <x:v>2334.68</x:v>
      </x:c>
      <x:c r="D1694" s="18" t="n">
        <x:v>2317.73</x:v>
      </x:c>
      <x:c r="E1694" s="18" t="n">
        <x:v>2334.43</x:v>
      </x:c>
      <x:c r="F1694" s="19" t="n">
        <x:v>81632</x:v>
      </x:c>
    </x:row>
    <x:row r="1695">
      <x:c r="A1695" s="17" t="n">
        <x:v>45468</x:v>
      </x:c>
      <x:c r="B1695" s="18" t="n">
        <x:v>2334.29</x:v>
      </x:c>
      <x:c r="C1695" s="18" t="n">
        <x:v>2337.13</x:v>
      </x:c>
      <x:c r="D1695" s="18" t="n">
        <x:v>2315.54</x:v>
      </x:c>
      <x:c r="E1695" s="18" t="n">
        <x:v>2319.51</x:v>
      </x:c>
      <x:c r="F1695" s="19" t="n">
        <x:v>72400</x:v>
      </x:c>
    </x:row>
    <x:row r="1696">
      <x:c r="A1696" s="17" t="n">
        <x:v>45469</x:v>
      </x:c>
      <x:c r="B1696" s="18" t="n">
        <x:v>2319.35</x:v>
      </x:c>
      <x:c r="C1696" s="18" t="n">
        <x:v>2323.72</x:v>
      </x:c>
      <x:c r="D1696" s="18" t="n">
        <x:v>2293.67</x:v>
      </x:c>
      <x:c r="E1696" s="18" t="n">
        <x:v>2298.06</x:v>
      </x:c>
      <x:c r="F1696" s="19" t="n">
        <x:v>81657</x:v>
      </x:c>
    </x:row>
    <x:row r="1697">
      <x:c r="A1697" s="17" t="n">
        <x:v>45470</x:v>
      </x:c>
      <x:c r="B1697" s="18" t="n">
        <x:v>2298.36</x:v>
      </x:c>
      <x:c r="C1697" s="18" t="n">
        <x:v>2330.91</x:v>
      </x:c>
      <x:c r="D1697" s="18" t="n">
        <x:v>2296.54</x:v>
      </x:c>
      <x:c r="E1697" s="18" t="n">
        <x:v>2327.48</x:v>
      </x:c>
      <x:c r="F1697" s="19" t="n">
        <x:v>74385</x:v>
      </x:c>
    </x:row>
    <x:row r="1698">
      <x:c r="A1698" s="17" t="n">
        <x:v>45471</x:v>
      </x:c>
      <x:c r="B1698" s="18" t="n">
        <x:v>2328.03</x:v>
      </x:c>
      <x:c r="C1698" s="18" t="n">
        <x:v>2339.75</x:v>
      </x:c>
      <x:c r="D1698" s="18" t="n">
        <x:v>2319.06</x:v>
      </x:c>
      <x:c r="E1698" s="18" t="n">
        <x:v>2326.4</x:v>
      </x:c>
      <x:c r="F1698" s="19" t="n">
        <x:v>74181</x:v>
      </x:c>
    </x:row>
    <x:row r="1699">
      <x:c r="A1699" s="17" t="n">
        <x:v>45474</x:v>
      </x:c>
      <x:c r="B1699" s="18" t="n">
        <x:v>2326.9</x:v>
      </x:c>
      <x:c r="C1699" s="18" t="n">
        <x:v>2338.53</x:v>
      </x:c>
      <x:c r="D1699" s="18" t="n">
        <x:v>2318.5</x:v>
      </x:c>
      <x:c r="E1699" s="18" t="n">
        <x:v>2331.72</x:v>
      </x:c>
      <x:c r="F1699" s="19" t="n">
        <x:v>76003</x:v>
      </x:c>
    </x:row>
    <x:row r="1700">
      <x:c r="A1700" s="17" t="n">
        <x:v>45475</x:v>
      </x:c>
      <x:c r="B1700" s="18" t="n">
        <x:v>2331.75</x:v>
      </x:c>
      <x:c r="C1700" s="18" t="n">
        <x:v>2336.78</x:v>
      </x:c>
      <x:c r="D1700" s="18" t="n">
        <x:v>2319.12</x:v>
      </x:c>
      <x:c r="E1700" s="18" t="n">
        <x:v>2329.35</x:v>
      </x:c>
      <x:c r="F1700" s="19" t="n">
        <x:v>70178</x:v>
      </x:c>
    </x:row>
    <x:row r="1701">
      <x:c r="A1701" s="17" t="n">
        <x:v>45476</x:v>
      </x:c>
      <x:c r="B1701" s="18" t="n">
        <x:v>2329.55</x:v>
      </x:c>
      <x:c r="C1701" s="18" t="n">
        <x:v>2364.92</x:v>
      </x:c>
      <x:c r="D1701" s="18" t="n">
        <x:v>2326.82</x:v>
      </x:c>
      <x:c r="E1701" s="18" t="n">
        <x:v>2356.07</x:v>
      </x:c>
      <x:c r="F1701" s="19" t="n">
        <x:v>71327</x:v>
      </x:c>
    </x:row>
    <x:row r="1702">
      <x:c r="A1702" s="17" t="n">
        <x:v>45477</x:v>
      </x:c>
      <x:c r="B1702" s="18" t="n">
        <x:v>2356.17</x:v>
      </x:c>
      <x:c r="C1702" s="18" t="n">
        <x:v>2362.52</x:v>
      </x:c>
      <x:c r="D1702" s="18" t="n">
        <x:v>2350.64</x:v>
      </x:c>
      <x:c r="E1702" s="18" t="n">
        <x:v>2356.1</x:v>
      </x:c>
      <x:c r="F1702" s="19" t="n">
        <x:v>45570</x:v>
      </x:c>
    </x:row>
    <x:row r="1703">
      <x:c r="A1703" s="17" t="n">
        <x:v>45478</x:v>
      </x:c>
      <x:c r="B1703" s="18" t="n">
        <x:v>2357.21</x:v>
      </x:c>
      <x:c r="C1703" s="18" t="n">
        <x:v>2392.91</x:v>
      </x:c>
      <x:c r="D1703" s="18" t="n">
        <x:v>2352.3</x:v>
      </x:c>
      <x:c r="E1703" s="18" t="n">
        <x:v>2391.06</x:v>
      </x:c>
      <x:c r="F1703" s="19" t="n">
        <x:v>78621</x:v>
      </x:c>
    </x:row>
    <x:row r="1704">
      <x:c r="A1704" s="17" t="n">
        <x:v>45481</x:v>
      </x:c>
      <x:c r="B1704" s="18" t="n">
        <x:v>2386.21</x:v>
      </x:c>
      <x:c r="C1704" s="18" t="n">
        <x:v>2391.13</x:v>
      </x:c>
      <x:c r="D1704" s="18" t="n">
        <x:v>2351.14</x:v>
      </x:c>
      <x:c r="E1704" s="18" t="n">
        <x:v>2359.09</x:v>
      </x:c>
      <x:c r="F1704" s="19" t="n">
        <x:v>76078</x:v>
      </x:c>
    </x:row>
    <x:row r="1705">
      <x:c r="A1705" s="17" t="n">
        <x:v>45482</x:v>
      </x:c>
      <x:c r="B1705" s="18" t="n">
        <x:v>2359.35</x:v>
      </x:c>
      <x:c r="C1705" s="18" t="n">
        <x:v>2371.33</x:v>
      </x:c>
      <x:c r="D1705" s="18" t="n">
        <x:v>2349.29</x:v>
      </x:c>
      <x:c r="E1705" s="18" t="n">
        <x:v>2363.73</x:v>
      </x:c>
      <x:c r="F1705" s="19" t="n">
        <x:v>74775</x:v>
      </x:c>
    </x:row>
    <x:row r="1706">
      <x:c r="A1706" s="17" t="n">
        <x:v>45483</x:v>
      </x:c>
      <x:c r="B1706" s="18" t="n">
        <x:v>2364.12</x:v>
      </x:c>
      <x:c r="C1706" s="18" t="n">
        <x:v>2386.61</x:v>
      </x:c>
      <x:c r="D1706" s="18" t="n">
        <x:v>2362.19</x:v>
      </x:c>
      <x:c r="E1706" s="18" t="n">
        <x:v>2371.26</x:v>
      </x:c>
      <x:c r="F1706" s="19" t="n">
        <x:v>68758</x:v>
      </x:c>
    </x:row>
    <x:row r="1707">
      <x:c r="A1707" s="17" t="n">
        <x:v>45484</x:v>
      </x:c>
      <x:c r="B1707" s="18" t="n">
        <x:v>2371.03</x:v>
      </x:c>
      <x:c r="C1707" s="18" t="n">
        <x:v>2424.54</x:v>
      </x:c>
      <x:c r="D1707" s="18" t="n">
        <x:v>2370.44</x:v>
      </x:c>
      <x:c r="E1707" s="18" t="n">
        <x:v>2415.3</x:v>
      </x:c>
      <x:c r="F1707" s="19" t="n">
        <x:v>76342</x:v>
      </x:c>
    </x:row>
    <x:row r="1708">
      <x:c r="A1708" s="17" t="n">
        <x:v>45485</x:v>
      </x:c>
      <x:c r="B1708" s="18" t="n">
        <x:v>2415.29</x:v>
      </x:c>
      <x:c r="C1708" s="18" t="n">
        <x:v>2418.17</x:v>
      </x:c>
      <x:c r="D1708" s="18" t="n">
        <x:v>2391.44</x:v>
      </x:c>
      <x:c r="E1708" s="18" t="n">
        <x:v>2411.59</x:v>
      </x:c>
      <x:c r="F1708" s="19" t="n">
        <x:v>81842</x:v>
      </x:c>
    </x:row>
    <x:row r="1709">
      <x:c r="A1709" s="17" t="n">
        <x:v>45488</x:v>
      </x:c>
      <x:c r="B1709" s="18" t="n">
        <x:v>2411.51</x:v>
      </x:c>
      <x:c r="C1709" s="18" t="n">
        <x:v>2439.67</x:v>
      </x:c>
      <x:c r="D1709" s="18" t="n">
        <x:v>2401.32</x:v>
      </x:c>
      <x:c r="E1709" s="18" t="n">
        <x:v>2422.23</x:v>
      </x:c>
      <x:c r="F1709" s="19" t="n">
        <x:v>85183</x:v>
      </x:c>
    </x:row>
    <x:row r="1710">
      <x:c r="A1710" s="17" t="n">
        <x:v>45489</x:v>
      </x:c>
      <x:c r="B1710" s="18" t="n">
        <x:v>2422.14</x:v>
      </x:c>
      <x:c r="C1710" s="18" t="n">
        <x:v>2469.65</x:v>
      </x:c>
      <x:c r="D1710" s="18" t="n">
        <x:v>2420.01</x:v>
      </x:c>
      <x:c r="E1710" s="18" t="n">
        <x:v>2468.69</x:v>
      </x:c>
      <x:c r="F1710" s="19" t="n">
        <x:v>85927</x:v>
      </x:c>
    </x:row>
    <x:row r="1711">
      <x:c r="A1711" s="17" t="n">
        <x:v>45490</x:v>
      </x:c>
      <x:c r="B1711" s="18" t="n">
        <x:v>2468.66</x:v>
      </x:c>
      <x:c r="C1711" s="18" t="n">
        <x:v>2483.54</x:v>
      </x:c>
      <x:c r="D1711" s="18" t="n">
        <x:v>2451.36</x:v>
      </x:c>
      <x:c r="E1711" s="18" t="n">
        <x:v>2458.66</x:v>
      </x:c>
      <x:c r="F1711" s="19" t="n">
        <x:v>172836</x:v>
      </x:c>
    </x:row>
    <x:row r="1712">
      <x:c r="A1712" s="17" t="n">
        <x:v>45491</x:v>
      </x:c>
      <x:c r="B1712" s="18" t="n">
        <x:v>2458.51</x:v>
      </x:c>
      <x:c r="C1712" s="18" t="n">
        <x:v>2474.8</x:v>
      </x:c>
      <x:c r="D1712" s="18" t="n">
        <x:v>2440.23</x:v>
      </x:c>
      <x:c r="E1712" s="18" t="n">
        <x:v>2445.08</x:v>
      </x:c>
      <x:c r="F1712" s="19" t="n">
        <x:v>181426</x:v>
      </x:c>
    </x:row>
    <x:row r="1713">
      <x:c r="A1713" s="17" t="n">
        <x:v>45492</x:v>
      </x:c>
      <x:c r="B1713" s="18" t="n">
        <x:v>2445.65</x:v>
      </x:c>
      <x:c r="C1713" s="18" t="n">
        <x:v>2445.67</x:v>
      </x:c>
      <x:c r="D1713" s="18" t="n">
        <x:v>2393.71</x:v>
      </x:c>
      <x:c r="E1713" s="18" t="n">
        <x:v>2400.3</x:v>
      </x:c>
      <x:c r="F1713" s="19" t="n">
        <x:v>185614</x:v>
      </x:c>
    </x:row>
    <x:row r="1714">
      <x:c r="A1714" s="17" t="n">
        <x:v>45495</x:v>
      </x:c>
      <x:c r="B1714" s="18" t="n">
        <x:v>2401.79</x:v>
      </x:c>
      <x:c r="C1714" s="18" t="n">
        <x:v>2412.04</x:v>
      </x:c>
      <x:c r="D1714" s="18" t="n">
        <x:v>2383.71</x:v>
      </x:c>
      <x:c r="E1714" s="18" t="n">
        <x:v>2396.35</x:v>
      </x:c>
      <x:c r="F1714" s="19" t="n">
        <x:v>167639</x:v>
      </x:c>
    </x:row>
    <x:row r="1715">
      <x:c r="A1715" s="17" t="n">
        <x:v>45496</x:v>
      </x:c>
      <x:c r="B1715" s="18" t="n">
        <x:v>2396.71</x:v>
      </x:c>
      <x:c r="C1715" s="18" t="n">
        <x:v>2411.91</x:v>
      </x:c>
      <x:c r="D1715" s="18" t="n">
        <x:v>2388.17</x:v>
      </x:c>
      <x:c r="E1715" s="18" t="n">
        <x:v>2409.62</x:v>
      </x:c>
      <x:c r="F1715" s="19" t="n">
        <x:v>168714</x:v>
      </x:c>
    </x:row>
    <x:row r="1716">
      <x:c r="A1716" s="17" t="n">
        <x:v>45497</x:v>
      </x:c>
      <x:c r="B1716" s="18" t="n">
        <x:v>2408.65</x:v>
      </x:c>
      <x:c r="C1716" s="18" t="n">
        <x:v>2431.9</x:v>
      </x:c>
      <x:c r="D1716" s="18" t="n">
        <x:v>2396.72</x:v>
      </x:c>
      <x:c r="E1716" s="18" t="n">
        <x:v>2397.23</x:v>
      </x:c>
      <x:c r="F1716" s="19" t="n">
        <x:v>179458</x:v>
      </x:c>
    </x:row>
    <x:row r="1717">
      <x:c r="A1717" s="17" t="n">
        <x:v>45498</x:v>
      </x:c>
      <x:c r="B1717" s="18" t="n">
        <x:v>2397.05</x:v>
      </x:c>
      <x:c r="C1717" s="18" t="n">
        <x:v>2401.11</x:v>
      </x:c>
      <x:c r="D1717" s="18" t="n">
        <x:v>2352.97</x:v>
      </x:c>
      <x:c r="E1717" s="18" t="n">
        <x:v>2364.49</x:v>
      </x:c>
      <x:c r="F1717" s="19" t="n">
        <x:v>241295</x:v>
      </x:c>
    </x:row>
    <x:row r="1718">
      <x:c r="A1718" s="17" t="n">
        <x:v>45499</x:v>
      </x:c>
      <x:c r="B1718" s="18" t="n">
        <x:v>2364.05</x:v>
      </x:c>
      <x:c r="C1718" s="18" t="n">
        <x:v>2390.68</x:v>
      </x:c>
      <x:c r="D1718" s="18" t="n">
        <x:v>2355.7</x:v>
      </x:c>
      <x:c r="E1718" s="18" t="n">
        <x:v>2387.34</x:v>
      </x:c>
      <x:c r="F1718" s="19" t="n">
        <x:v>182598</x:v>
      </x:c>
    </x:row>
    <x:row r="1719">
      <x:c r="A1719" s="17" t="n">
        <x:v>45502</x:v>
      </x:c>
      <x:c r="B1719" s="18" t="n">
        <x:v>2388.7</x:v>
      </x:c>
      <x:c r="C1719" s="18" t="n">
        <x:v>2403.05</x:v>
      </x:c>
      <x:c r="D1719" s="18" t="n">
        <x:v>2369.54</x:v>
      </x:c>
      <x:c r="E1719" s="18" t="n">
        <x:v>2383.5</x:v>
      </x:c>
      <x:c r="F1719" s="19" t="n">
        <x:v>179262</x:v>
      </x:c>
    </x:row>
    <x:row r="1720">
      <x:c r="A1720" s="17" t="n">
        <x:v>45503</x:v>
      </x:c>
      <x:c r="B1720" s="18" t="n">
        <x:v>2383.83</x:v>
      </x:c>
      <x:c r="C1720" s="18" t="n">
        <x:v>2412.64</x:v>
      </x:c>
      <x:c r="D1720" s="18" t="n">
        <x:v>2376.36</x:v>
      </x:c>
      <x:c r="E1720" s="18" t="n">
        <x:v>2410.92</x:v>
      </x:c>
      <x:c r="F1720" s="19" t="n">
        <x:v>174873</x:v>
      </x:c>
    </x:row>
    <x:row r="1721">
      <x:c r="A1721" s="17" t="n">
        <x:v>45504</x:v>
      </x:c>
      <x:c r="B1721" s="18" t="n">
        <x:v>2410.98</x:v>
      </x:c>
      <x:c r="C1721" s="18" t="n">
        <x:v>2450.8</x:v>
      </x:c>
      <x:c r="D1721" s="18" t="n">
        <x:v>2403.76</x:v>
      </x:c>
      <x:c r="E1721" s="18" t="n">
        <x:v>2447.24</x:v>
      </x:c>
      <x:c r="F1721" s="19" t="n">
        <x:v>211323</x:v>
      </x:c>
    </x:row>
    <x:row r="1722">
      <x:c r="A1722" s="17" t="n">
        <x:v>45505</x:v>
      </x:c>
      <x:c r="B1722" s="18" t="n">
        <x:v>2448.53</x:v>
      </x:c>
      <x:c r="C1722" s="18" t="n">
        <x:v>2462.17</x:v>
      </x:c>
      <x:c r="D1722" s="18" t="n">
        <x:v>2430.12</x:v>
      </x:c>
      <x:c r="E1722" s="18" t="n">
        <x:v>2446.3</x:v>
      </x:c>
      <x:c r="F1722" s="19" t="n">
        <x:v>227718</x:v>
      </x:c>
    </x:row>
    <x:row r="1723">
      <x:c r="A1723" s="17" t="n">
        <x:v>45506</x:v>
      </x:c>
      <x:c r="B1723" s="18" t="n">
        <x:v>2446.24</x:v>
      </x:c>
      <x:c r="C1723" s="18" t="n">
        <x:v>2477.61</x:v>
      </x:c>
      <x:c r="D1723" s="18" t="n">
        <x:v>2410.72</x:v>
      </x:c>
      <x:c r="E1723" s="18" t="n">
        <x:v>2441.38</x:v>
      </x:c>
      <x:c r="F1723" s="19" t="n">
        <x:v>238833</x:v>
      </x:c>
    </x:row>
    <x:row r="1724">
      <x:c r="A1724" s="17" t="n">
        <x:v>45509</x:v>
      </x:c>
      <x:c r="B1724" s="18" t="n">
        <x:v>2444.61</x:v>
      </x:c>
      <x:c r="C1724" s="18" t="n">
        <x:v>2458.65</x:v>
      </x:c>
      <x:c r="D1724" s="18" t="n">
        <x:v>2364.06</x:v>
      </x:c>
      <x:c r="E1724" s="18" t="n">
        <x:v>2409.96</x:v>
      </x:c>
      <x:c r="F1724" s="19" t="n">
        <x:v>303106</x:v>
      </x:c>
    </x:row>
    <x:row r="1725">
      <x:c r="A1725" s="17" t="n">
        <x:v>45510</x:v>
      </x:c>
      <x:c r="B1725" s="18" t="n">
        <x:v>2410.23</x:v>
      </x:c>
      <x:c r="C1725" s="18" t="n">
        <x:v>2418.23</x:v>
      </x:c>
      <x:c r="D1725" s="18" t="n">
        <x:v>2381.48</x:v>
      </x:c>
      <x:c r="E1725" s="18" t="n">
        <x:v>2389.85</x:v>
      </x:c>
      <x:c r="F1725" s="19" t="n">
        <x:v>248749</x:v>
      </x:c>
    </x:row>
    <x:row r="1726">
      <x:c r="A1726" s="17" t="n">
        <x:v>45511</x:v>
      </x:c>
      <x:c r="B1726" s="18" t="n">
        <x:v>2391.58</x:v>
      </x:c>
      <x:c r="C1726" s="18" t="n">
        <x:v>2406.9</x:v>
      </x:c>
      <x:c r="D1726" s="18" t="n">
        <x:v>2378.94</x:v>
      </x:c>
      <x:c r="E1726" s="18" t="n">
        <x:v>2383.06</x:v>
      </x:c>
      <x:c r="F1726" s="19" t="n">
        <x:v>211353</x:v>
      </x:c>
    </x:row>
    <x:row r="1727">
      <x:c r="A1727" s="17" t="n">
        <x:v>45512</x:v>
      </x:c>
      <x:c r="B1727" s="18" t="n">
        <x:v>2381.01</x:v>
      </x:c>
      <x:c r="C1727" s="18" t="n">
        <x:v>2427.53</x:v>
      </x:c>
      <x:c r="D1727" s="18" t="n">
        <x:v>2380.95</x:v>
      </x:c>
      <x:c r="E1727" s="18" t="n">
        <x:v>2427.18</x:v>
      </x:c>
      <x:c r="F1727" s="19" t="n">
        <x:v>214274</x:v>
      </x:c>
    </x:row>
    <x:row r="1728">
      <x:c r="A1728" s="17" t="n">
        <x:v>45513</x:v>
      </x:c>
      <x:c r="B1728" s="18" t="n">
        <x:v>2427.07</x:v>
      </x:c>
      <x:c r="C1728" s="18" t="n">
        <x:v>2436.93</x:v>
      </x:c>
      <x:c r="D1728" s="18" t="n">
        <x:v>2416.78</x:v>
      </x:c>
      <x:c r="E1728" s="18" t="n">
        <x:v>2431.07</x:v>
      </x:c>
      <x:c r="F1728" s="19" t="n">
        <x:v>176072</x:v>
      </x:c>
    </x:row>
    <x:row r="1729">
      <x:c r="A1729" s="17" t="n">
        <x:v>45516</x:v>
      </x:c>
      <x:c r="B1729" s="18" t="n">
        <x:v>2429.26</x:v>
      </x:c>
      <x:c r="C1729" s="18" t="n">
        <x:v>2473.16</x:v>
      </x:c>
      <x:c r="D1729" s="18" t="n">
        <x:v>2423.75</x:v>
      </x:c>
      <x:c r="E1729" s="18" t="n">
        <x:v>2472.03</x:v>
      </x:c>
      <x:c r="F1729" s="19" t="n">
        <x:v>154564</x:v>
      </x:c>
    </x:row>
    <x:row r="1730">
      <x:c r="A1730" s="17" t="n">
        <x:v>45517</x:v>
      </x:c>
      <x:c r="B1730" s="18" t="n">
        <x:v>2471.08</x:v>
      </x:c>
      <x:c r="C1730" s="18" t="n">
        <x:v>2476.82</x:v>
      </x:c>
      <x:c r="D1730" s="18" t="n">
        <x:v>2458.4</x:v>
      </x:c>
      <x:c r="E1730" s="18" t="n">
        <x:v>2464.98</x:v>
      </x:c>
      <x:c r="F1730" s="19" t="n">
        <x:v>166903</x:v>
      </x:c>
    </x:row>
    <x:row r="1731">
      <x:c r="A1731" s="17" t="n">
        <x:v>45518</x:v>
      </x:c>
      <x:c r="B1731" s="18" t="n">
        <x:v>2465.65</x:v>
      </x:c>
      <x:c r="C1731" s="18" t="n">
        <x:v>2479.7</x:v>
      </x:c>
      <x:c r="D1731" s="18" t="n">
        <x:v>2437.98</x:v>
      </x:c>
      <x:c r="E1731" s="18" t="n">
        <x:v>2447.92</x:v>
      </x:c>
      <x:c r="F1731" s="19" t="n">
        <x:v>187574</x:v>
      </x:c>
    </x:row>
    <x:row r="1732">
      <x:c r="A1732" s="17" t="n">
        <x:v>45519</x:v>
      </x:c>
      <x:c r="B1732" s="18" t="n">
        <x:v>2447.5</x:v>
      </x:c>
      <x:c r="C1732" s="18" t="n">
        <x:v>2469.95</x:v>
      </x:c>
      <x:c r="D1732" s="18" t="n">
        <x:v>2432.09</x:v>
      </x:c>
      <x:c r="E1732" s="18" t="n">
        <x:v>2456.24</x:v>
      </x:c>
      <x:c r="F1732" s="19" t="n">
        <x:v>176316</x:v>
      </x:c>
    </x:row>
    <x:row r="1733">
      <x:c r="A1733" s="17" t="n">
        <x:v>45520</x:v>
      </x:c>
      <x:c r="B1733" s="18" t="n">
        <x:v>2455.96</x:v>
      </x:c>
      <x:c r="C1733" s="18" t="n">
        <x:v>2509.61</x:v>
      </x:c>
      <x:c r="D1733" s="18" t="n">
        <x:v>2450.64</x:v>
      </x:c>
      <x:c r="E1733" s="18" t="n">
        <x:v>2507.46</x:v>
      </x:c>
      <x:c r="F1733" s="19" t="n">
        <x:v>180403</x:v>
      </x:c>
    </x:row>
    <x:row r="1734">
      <x:c r="A1734" s="17" t="n">
        <x:v>45523</x:v>
      </x:c>
      <x:c r="B1734" s="18" t="n">
        <x:v>2508.41</x:v>
      </x:c>
      <x:c r="C1734" s="18" t="n">
        <x:v>2510.06</x:v>
      </x:c>
      <x:c r="D1734" s="18" t="n">
        <x:v>2485.54</x:v>
      </x:c>
      <x:c r="E1734" s="18" t="n">
        <x:v>2504.23</x:v>
      </x:c>
      <x:c r="F1734" s="19" t="n">
        <x:v>183561</x:v>
      </x:c>
    </x:row>
    <x:row r="1735">
      <x:c r="A1735" s="17" t="n">
        <x:v>45524</x:v>
      </x:c>
      <x:c r="B1735" s="18" t="n">
        <x:v>2503.42</x:v>
      </x:c>
      <x:c r="C1735" s="18" t="n">
        <x:v>2531.53</x:v>
      </x:c>
      <x:c r="D1735" s="18" t="n">
        <x:v>2497.23</x:v>
      </x:c>
      <x:c r="E1735" s="18" t="n">
        <x:v>2514.01</x:v>
      </x:c>
      <x:c r="F1735" s="19" t="n">
        <x:v>177578</x:v>
      </x:c>
    </x:row>
    <x:row r="1736">
      <x:c r="A1736" s="17" t="n">
        <x:v>45525</x:v>
      </x:c>
      <x:c r="B1736" s="18" t="n">
        <x:v>2513.79</x:v>
      </x:c>
      <x:c r="C1736" s="18" t="n">
        <x:v>2519.84</x:v>
      </x:c>
      <x:c r="D1736" s="18" t="n">
        <x:v>2493.81</x:v>
      </x:c>
      <x:c r="E1736" s="18" t="n">
        <x:v>2512.3</x:v>
      </x:c>
      <x:c r="F1736" s="19" t="n">
        <x:v>178292</x:v>
      </x:c>
    </x:row>
    <x:row r="1737">
      <x:c r="A1737" s="17" t="n">
        <x:v>45526</x:v>
      </x:c>
      <x:c r="B1737" s="18" t="n">
        <x:v>2511.93</x:v>
      </x:c>
      <x:c r="C1737" s="18" t="n">
        <x:v>2514.56</x:v>
      </x:c>
      <x:c r="D1737" s="18" t="n">
        <x:v>2470.73</x:v>
      </x:c>
      <x:c r="E1737" s="18" t="n">
        <x:v>2484.73</x:v>
      </x:c>
      <x:c r="F1737" s="19" t="n">
        <x:v>182512</x:v>
      </x:c>
    </x:row>
    <x:row r="1738">
      <x:c r="A1738" s="17" t="n">
        <x:v>45527</x:v>
      </x:c>
      <x:c r="B1738" s="18" t="n">
        <x:v>2484.81</x:v>
      </x:c>
      <x:c r="C1738" s="18" t="n">
        <x:v>2518.23</x:v>
      </x:c>
      <x:c r="D1738" s="18" t="n">
        <x:v>2484.33</x:v>
      </x:c>
      <x:c r="E1738" s="18" t="n">
        <x:v>2511.93</x:v>
      </x:c>
      <x:c r="F1738" s="19" t="n">
        <x:v>178967</x:v>
      </x:c>
    </x:row>
    <x:row r="1739">
      <x:c r="A1739" s="17" t="n">
        <x:v>45530</x:v>
      </x:c>
      <x:c r="B1739" s="18" t="n">
        <x:v>2511.56</x:v>
      </x:c>
      <x:c r="C1739" s="18" t="n">
        <x:v>2526.7</x:v>
      </x:c>
      <x:c r="D1739" s="18" t="n">
        <x:v>2508.63</x:v>
      </x:c>
      <x:c r="E1739" s="18" t="n">
        <x:v>2517.91</x:v>
      </x:c>
      <x:c r="F1739" s="19" t="n">
        <x:v>172547</x:v>
      </x:c>
    </x:row>
    <x:row r="1740">
      <x:c r="A1740" s="17" t="n">
        <x:v>45531</x:v>
      </x:c>
      <x:c r="B1740" s="18" t="n">
        <x:v>2518.06</x:v>
      </x:c>
      <x:c r="C1740" s="18" t="n">
        <x:v>2525.84</x:v>
      </x:c>
      <x:c r="D1740" s="18" t="n">
        <x:v>2503.45</x:v>
      </x:c>
      <x:c r="E1740" s="18" t="n">
        <x:v>2524.59</x:v>
      </x:c>
      <x:c r="F1740" s="19" t="n">
        <x:v>166644</x:v>
      </x:c>
    </x:row>
    <x:row r="1741">
      <x:c r="A1741" s="17" t="n">
        <x:v>45532</x:v>
      </x:c>
      <x:c r="B1741" s="18" t="n">
        <x:v>2524.56</x:v>
      </x:c>
      <x:c r="C1741" s="18" t="n">
        <x:v>2528.9</x:v>
      </x:c>
      <x:c r="D1741" s="18" t="n">
        <x:v>2493.55</x:v>
      </x:c>
      <x:c r="E1741" s="18" t="n">
        <x:v>2504.67</x:v>
      </x:c>
      <x:c r="F1741" s="19" t="n">
        <x:v>167110</x:v>
      </x:c>
    </x:row>
    <x:row r="1742">
      <x:c r="A1742" s="17" t="n">
        <x:v>45533</x:v>
      </x:c>
      <x:c r="B1742" s="18" t="n">
        <x:v>2504.55</x:v>
      </x:c>
      <x:c r="C1742" s="18" t="n">
        <x:v>2528.6</x:v>
      </x:c>
      <x:c r="D1742" s="18" t="n">
        <x:v>2503.55</x:v>
      </x:c>
      <x:c r="E1742" s="18" t="n">
        <x:v>2521.09</x:v>
      </x:c>
      <x:c r="F1742" s="19" t="n">
        <x:v>173193</x:v>
      </x:c>
    </x:row>
    <x:row r="1743">
      <x:c r="A1743" s="17" t="n">
        <x:v>45534</x:v>
      </x:c>
      <x:c r="B1743" s="18" t="n">
        <x:v>2521.13</x:v>
      </x:c>
      <x:c r="C1743" s="18" t="n">
        <x:v>2526.75</x:v>
      </x:c>
      <x:c r="D1743" s="18" t="n">
        <x:v>2494.06</x:v>
      </x:c>
      <x:c r="E1743" s="18" t="n">
        <x:v>2503.35</x:v>
      </x:c>
      <x:c r="F1743" s="19" t="n">
        <x:v>174801</x:v>
      </x:c>
    </x:row>
    <x:row r="1744">
      <x:c r="A1744" s="17" t="n">
        <x:v>45537</x:v>
      </x:c>
      <x:c r="B1744" s="18" t="n">
        <x:v>2502.34</x:v>
      </x:c>
      <x:c r="C1744" s="18" t="n">
        <x:v>2507.18</x:v>
      </x:c>
      <x:c r="D1744" s="18" t="n">
        <x:v>2489.94</x:v>
      </x:c>
      <x:c r="E1744" s="18" t="n">
        <x:v>2499.46</x:v>
      </x:c>
      <x:c r="F1744" s="19" t="n">
        <x:v>110467</x:v>
      </x:c>
    </x:row>
    <x:row r="1745">
      <x:c r="A1745" s="17" t="n">
        <x:v>45538</x:v>
      </x:c>
      <x:c r="B1745" s="18" t="n">
        <x:v>2499.89</x:v>
      </x:c>
      <x:c r="C1745" s="18" t="n">
        <x:v>2506.18</x:v>
      </x:c>
      <x:c r="D1745" s="18" t="n">
        <x:v>2473.39</x:v>
      </x:c>
      <x:c r="E1745" s="18" t="n">
        <x:v>2492.86</x:v>
      </x:c>
      <x:c r="F1745" s="19" t="n">
        <x:v>185141</x:v>
      </x:c>
    </x:row>
    <x:row r="1746">
      <x:c r="A1746" s="17" t="n">
        <x:v>45539</x:v>
      </x:c>
      <x:c r="B1746" s="18" t="n">
        <x:v>2493.05</x:v>
      </x:c>
      <x:c r="C1746" s="18" t="n">
        <x:v>2500.15</x:v>
      </x:c>
      <x:c r="D1746" s="18" t="n">
        <x:v>2471.77</x:v>
      </x:c>
      <x:c r="E1746" s="18" t="n">
        <x:v>2495.44</x:v>
      </x:c>
      <x:c r="F1746" s="19" t="n">
        <x:v>173118</x:v>
      </x:c>
    </x:row>
    <x:row r="1747">
      <x:c r="A1747" s="17" t="n">
        <x:v>45540</x:v>
      </x:c>
      <x:c r="B1747" s="18" t="n">
        <x:v>2495.24</x:v>
      </x:c>
      <x:c r="C1747" s="18" t="n">
        <x:v>2523.31</x:v>
      </x:c>
      <x:c r="D1747" s="18" t="n">
        <x:v>2493.72</x:v>
      </x:c>
      <x:c r="E1747" s="18" t="n">
        <x:v>2516.63</x:v>
      </x:c>
      <x:c r="F1747" s="19" t="n">
        <x:v>171151</x:v>
      </x:c>
    </x:row>
    <x:row r="1748">
      <x:c r="A1748" s="17" t="n">
        <x:v>45541</x:v>
      </x:c>
      <x:c r="B1748" s="18" t="n">
        <x:v>2516.84</x:v>
      </x:c>
      <x:c r="C1748" s="18" t="n">
        <x:v>2529.08</x:v>
      </x:c>
      <x:c r="D1748" s="18" t="n">
        <x:v>2485.02</x:v>
      </x:c>
      <x:c r="E1748" s="18" t="n">
        <x:v>2497.61</x:v>
      </x:c>
      <x:c r="F1748" s="19" t="n">
        <x:v>194614</x:v>
      </x:c>
    </x:row>
    <x:row r="1749">
      <x:c r="A1749" s="17" t="n">
        <x:v>45544</x:v>
      </x:c>
      <x:c r="B1749" s="18" t="n">
        <x:v>2497.09</x:v>
      </x:c>
      <x:c r="C1749" s="18" t="n">
        <x:v>2507.04</x:v>
      </x:c>
      <x:c r="D1749" s="18" t="n">
        <x:v>2485.44</x:v>
      </x:c>
      <x:c r="E1749" s="18" t="n">
        <x:v>2506.22</x:v>
      </x:c>
      <x:c r="F1749" s="19" t="n">
        <x:v>175640</x:v>
      </x:c>
    </x:row>
    <x:row r="1750">
      <x:c r="A1750" s="17" t="n">
        <x:v>45545</x:v>
      </x:c>
      <x:c r="B1750" s="18" t="n">
        <x:v>2506.19</x:v>
      </x:c>
      <x:c r="C1750" s="18" t="n">
        <x:v>2518.32</x:v>
      </x:c>
      <x:c r="D1750" s="18" t="n">
        <x:v>2500.02</x:v>
      </x:c>
      <x:c r="E1750" s="18" t="n">
        <x:v>2516.54</x:v>
      </x:c>
      <x:c r="F1750" s="19" t="n">
        <x:v>162060</x:v>
      </x:c>
    </x:row>
    <x:row r="1751">
      <x:c r="A1751" s="17" t="n">
        <x:v>45546</x:v>
      </x:c>
      <x:c r="B1751" s="18" t="n">
        <x:v>2516.55</x:v>
      </x:c>
      <x:c r="C1751" s="18" t="n">
        <x:v>2528.93</x:v>
      </x:c>
      <x:c r="D1751" s="18" t="n">
        <x:v>2500.85</x:v>
      </x:c>
      <x:c r="E1751" s="18" t="n">
        <x:v>2511.35</x:v>
      </x:c>
      <x:c r="F1751" s="19" t="n">
        <x:v>192814</x:v>
      </x:c>
    </x:row>
    <x:row r="1752">
      <x:c r="A1752" s="17" t="n">
        <x:v>45547</x:v>
      </x:c>
      <x:c r="B1752" s="18" t="n">
        <x:v>2511.97</x:v>
      </x:c>
      <x:c r="C1752" s="18" t="n">
        <x:v>2559.98</x:v>
      </x:c>
      <x:c r="D1752" s="18" t="n">
        <x:v>2510.9</x:v>
      </x:c>
      <x:c r="E1752" s="18" t="n">
        <x:v>2558.6</x:v>
      </x:c>
      <x:c r="F1752" s="19" t="n">
        <x:v>187663</x:v>
      </x:c>
    </x:row>
    <x:row r="1753">
      <x:c r="A1753" s="17" t="n">
        <x:v>45548</x:v>
      </x:c>
      <x:c r="B1753" s="18" t="n">
        <x:v>2558.54</x:v>
      </x:c>
      <x:c r="C1753" s="18" t="n">
        <x:v>2585.92</x:v>
      </x:c>
      <x:c r="D1753" s="18" t="n">
        <x:v>2556.61</x:v>
      </x:c>
      <x:c r="E1753" s="18" t="n">
        <x:v>2578.38</x:v>
      </x:c>
      <x:c r="F1753" s="19" t="n">
        <x:v>191691</x:v>
      </x:c>
    </x:row>
    <x:row r="1754">
      <x:c r="A1754" s="17" t="n">
        <x:v>45551</x:v>
      </x:c>
      <x:c r="B1754" s="18" t="n">
        <x:v>2579.39</x:v>
      </x:c>
      <x:c r="C1754" s="18" t="n">
        <x:v>2589.56</x:v>
      </x:c>
      <x:c r="D1754" s="18" t="n">
        <x:v>2575.17</x:v>
      </x:c>
      <x:c r="E1754" s="18" t="n">
        <x:v>2582.42</x:v>
      </x:c>
      <x:c r="F1754" s="19" t="n">
        <x:v>149290</x:v>
      </x:c>
    </x:row>
    <x:row r="1755">
      <x:c r="A1755" s="17" t="n">
        <x:v>45552</x:v>
      </x:c>
      <x:c r="B1755" s="18" t="n">
        <x:v>2582.09</x:v>
      </x:c>
      <x:c r="C1755" s="18" t="n">
        <x:v>2586.82</x:v>
      </x:c>
      <x:c r="D1755" s="18" t="n">
        <x:v>2560.69</x:v>
      </x:c>
      <x:c r="E1755" s="18" t="n">
        <x:v>2569.45</x:v>
      </x:c>
      <x:c r="F1755" s="19" t="n">
        <x:v>168290</x:v>
      </x:c>
    </x:row>
    <x:row r="1756">
      <x:c r="A1756" s="17" t="n">
        <x:v>45553</x:v>
      </x:c>
      <x:c r="B1756" s="18" t="n">
        <x:v>2569.64</x:v>
      </x:c>
      <x:c r="C1756" s="18" t="n">
        <x:v>2600.04</x:v>
      </x:c>
      <x:c r="D1756" s="18" t="n">
        <x:v>2546.71</x:v>
      </x:c>
      <x:c r="E1756" s="18" t="n">
        <x:v>2559.27</x:v>
      </x:c>
      <x:c r="F1756" s="19" t="n">
        <x:v>196306</x:v>
      </x:c>
    </x:row>
    <x:row r="1757">
      <x:c r="A1757" s="17" t="n">
        <x:v>45554</x:v>
      </x:c>
      <x:c r="B1757" s="18" t="n">
        <x:v>2558.73</x:v>
      </x:c>
      <x:c r="C1757" s="18" t="n">
        <x:v>2594.76</x:v>
      </x:c>
      <x:c r="D1757" s="18" t="n">
        <x:v>2550.94</x:v>
      </x:c>
      <x:c r="E1757" s="18" t="n">
        <x:v>2586.61</x:v>
      </x:c>
      <x:c r="F1757" s="19" t="n">
        <x:v>212431</x:v>
      </x:c>
    </x:row>
    <x:row r="1758">
      <x:c r="A1758" s="17" t="n">
        <x:v>45555</x:v>
      </x:c>
      <x:c r="B1758" s="18" t="n">
        <x:v>2586.85</x:v>
      </x:c>
      <x:c r="C1758" s="18" t="n">
        <x:v>2625.65</x:v>
      </x:c>
      <x:c r="D1758" s="18" t="n">
        <x:v>2584.71</x:v>
      </x:c>
      <x:c r="E1758" s="18" t="n">
        <x:v>2622.26</x:v>
      </x:c>
      <x:c r="F1758" s="19" t="n">
        <x:v>192171</x:v>
      </x:c>
    </x:row>
    <x:row r="1759">
      <x:c r="A1759" s="17" t="n">
        <x:v>45558</x:v>
      </x:c>
      <x:c r="B1759" s="18" t="n">
        <x:v>2619.54</x:v>
      </x:c>
      <x:c r="C1759" s="18" t="n">
        <x:v>2634.74</x:v>
      </x:c>
      <x:c r="D1759" s="18" t="n">
        <x:v>2613.78</x:v>
      </x:c>
      <x:c r="E1759" s="18" t="n">
        <x:v>2628.39</x:v>
      </x:c>
      <x:c r="F1759" s="19" t="n">
        <x:v>170980</x:v>
      </x:c>
    </x:row>
    <x:row r="1760">
      <x:c r="A1760" s="17" t="n">
        <x:v>45559</x:v>
      </x:c>
      <x:c r="B1760" s="18" t="n">
        <x:v>2628.64</x:v>
      </x:c>
      <x:c r="C1760" s="18" t="n">
        <x:v>2664.24</x:v>
      </x:c>
      <x:c r="D1760" s="18" t="n">
        <x:v>2622.56</x:v>
      </x:c>
      <x:c r="E1760" s="18" t="n">
        <x:v>2656.99</x:v>
      </x:c>
      <x:c r="F1760" s="19" t="n">
        <x:v>203370</x:v>
      </x:c>
    </x:row>
    <x:row r="1761">
      <x:c r="A1761" s="17" t="n">
        <x:v>45560</x:v>
      </x:c>
      <x:c r="B1761" s="18" t="n">
        <x:v>2657.43</x:v>
      </x:c>
      <x:c r="C1761" s="18" t="n">
        <x:v>2670.39</x:v>
      </x:c>
      <x:c r="D1761" s="18" t="n">
        <x:v>2649.61</x:v>
      </x:c>
      <x:c r="E1761" s="18" t="n">
        <x:v>2657.02</x:v>
      </x:c>
      <x:c r="F1761" s="19" t="n">
        <x:v>189847</x:v>
      </x:c>
    </x:row>
    <x:row r="1762">
      <x:c r="A1762" s="17" t="n">
        <x:v>45561</x:v>
      </x:c>
      <x:c r="B1762" s="18" t="n">
        <x:v>2656.47</x:v>
      </x:c>
      <x:c r="C1762" s="18" t="n">
        <x:v>2685.44</x:v>
      </x:c>
      <x:c r="D1762" s="18" t="n">
        <x:v>2654.7</x:v>
      </x:c>
      <x:c r="E1762" s="18" t="n">
        <x:v>2672.23</x:v>
      </x:c>
      <x:c r="F1762" s="19" t="n">
        <x:v>204851</x:v>
      </x:c>
    </x:row>
    <x:row r="1763">
      <x:c r="A1763" s="17" t="n">
        <x:v>45562</x:v>
      </x:c>
      <x:c r="B1763" s="18" t="n">
        <x:v>2672.24</x:v>
      </x:c>
      <x:c r="C1763" s="18" t="n">
        <x:v>2674.2</x:v>
      </x:c>
      <x:c r="D1763" s="18" t="n">
        <x:v>2643.04</x:v>
      </x:c>
      <x:c r="E1763" s="18" t="n">
        <x:v>2659.81</x:v>
      </x:c>
      <x:c r="F1763" s="19" t="n">
        <x:v>216031</x:v>
      </x:c>
    </x:row>
    <x:row r="1764">
      <x:c r="A1764" s="17" t="n">
        <x:v>45565</x:v>
      </x:c>
      <x:c r="B1764" s="18" t="n">
        <x:v>2658.25</x:v>
      </x:c>
      <x:c r="C1764" s="18" t="n">
        <x:v>2665.9</x:v>
      </x:c>
      <x:c r="D1764" s="18" t="n">
        <x:v>2624.59</x:v>
      </x:c>
      <x:c r="E1764" s="18" t="n">
        <x:v>2634.53</x:v>
      </x:c>
      <x:c r="F1764" s="19" t="n">
        <x:v>207306</x:v>
      </x:c>
    </x:row>
    <x:row r="1765">
      <x:c r="A1765" s="17" t="n">
        <x:v>45566</x:v>
      </x:c>
      <x:c r="B1765" s="18" t="n">
        <x:v>2634.35</x:v>
      </x:c>
      <x:c r="C1765" s="18" t="n">
        <x:v>2673.04</x:v>
      </x:c>
      <x:c r="D1765" s="18" t="n">
        <x:v>2632.13</x:v>
      </x:c>
      <x:c r="E1765" s="18" t="n">
        <x:v>2663.37</x:v>
      </x:c>
      <x:c r="F1765" s="19" t="n">
        <x:v>178322</x:v>
      </x:c>
    </x:row>
    <x:row r="1766">
      <x:c r="A1766" s="17" t="n">
        <x:v>45567</x:v>
      </x:c>
      <x:c r="B1766" s="18" t="n">
        <x:v>2663.25</x:v>
      </x:c>
      <x:c r="C1766" s="18" t="n">
        <x:v>2663.26</x:v>
      </x:c>
      <x:c r="D1766" s="18" t="n">
        <x:v>2641.02</x:v>
      </x:c>
      <x:c r="E1766" s="18" t="n">
        <x:v>2658.67</x:v>
      </x:c>
      <x:c r="F1766" s="19" t="n">
        <x:v>167809</x:v>
      </x:c>
    </x:row>
    <x:row r="1767">
      <x:c r="A1767" s="17" t="n">
        <x:v>45568</x:v>
      </x:c>
      <x:c r="B1767" s="18" t="n">
        <x:v>2658.51</x:v>
      </x:c>
      <x:c r="C1767" s="18" t="n">
        <x:v>2662.79</x:v>
      </x:c>
      <x:c r="D1767" s="18" t="n">
        <x:v>2636.9</x:v>
      </x:c>
      <x:c r="E1767" s="18" t="n">
        <x:v>2656.01</x:v>
      </x:c>
      <x:c r="F1767" s="19" t="n">
        <x:v>186642</x:v>
      </x:c>
    </x:row>
    <x:row r="1768">
      <x:c r="A1768" s="17" t="n">
        <x:v>45569</x:v>
      </x:c>
      <x:c r="B1768" s="18" t="n">
        <x:v>2656.25</x:v>
      </x:c>
      <x:c r="C1768" s="18" t="n">
        <x:v>2670.15</x:v>
      </x:c>
      <x:c r="D1768" s="18" t="n">
        <x:v>2631.91</x:v>
      </x:c>
      <x:c r="E1768" s="18" t="n">
        <x:v>2653.57</x:v>
      </x:c>
      <x:c r="F1768" s="19" t="n">
        <x:v>129072</x:v>
      </x:c>
    </x:row>
    <x:row r="1769">
      <x:c r="A1769" s="17" t="n">
        <x:v>45572</x:v>
      </x:c>
      <x:c r="B1769" s="18" t="n">
        <x:v>2649.56</x:v>
      </x:c>
      <x:c r="C1769" s="18" t="n">
        <x:v>2659.61</x:v>
      </x:c>
      <x:c r="D1769" s="18" t="n">
        <x:v>2637.74</x:v>
      </x:c>
      <x:c r="E1769" s="18" t="n">
        <x:v>2642.51</x:v>
      </x:c>
      <x:c r="F1769" s="19" t="n">
        <x:v>85860</x:v>
      </x:c>
    </x:row>
    <x:row r="1770">
      <x:c r="A1770" s="17" t="n">
        <x:v>45573</x:v>
      </x:c>
      <x:c r="B1770" s="18" t="n">
        <x:v>2644.69</x:v>
      </x:c>
      <x:c r="C1770" s="18" t="n">
        <x:v>2652.96</x:v>
      </x:c>
      <x:c r="D1770" s="18" t="n">
        <x:v>2604.77</x:v>
      </x:c>
      <x:c r="E1770" s="18" t="n">
        <x:v>2621.85</x:v>
      </x:c>
      <x:c r="F1770" s="19" t="n">
        <x:v>98279</x:v>
      </x:c>
    </x:row>
    <x:row r="1771">
      <x:c r="A1771" s="17" t="n">
        <x:v>45574</x:v>
      </x:c>
      <x:c r="B1771" s="18" t="n">
        <x:v>2621.6</x:v>
      </x:c>
      <x:c r="C1771" s="18" t="n">
        <x:v>2624.34</x:v>
      </x:c>
      <x:c r="D1771" s="18" t="n">
        <x:v>2605.21</x:v>
      </x:c>
      <x:c r="E1771" s="18" t="n">
        <x:v>2607.68</x:v>
      </x:c>
      <x:c r="F1771" s="19" t="n">
        <x:v>87211</x:v>
      </x:c>
    </x:row>
    <x:row r="1772">
      <x:c r="A1772" s="17" t="n">
        <x:v>45575</x:v>
      </x:c>
      <x:c r="B1772" s="18" t="n">
        <x:v>2607.68</x:v>
      </x:c>
      <x:c r="C1772" s="18" t="n">
        <x:v>2631.52</x:v>
      </x:c>
      <x:c r="D1772" s="18" t="n">
        <x:v>2605.89</x:v>
      </x:c>
      <x:c r="E1772" s="18" t="n">
        <x:v>2630.05</x:v>
      </x:c>
      <x:c r="F1772" s="19" t="n">
        <x:v>87430</x:v>
      </x:c>
    </x:row>
    <x:row r="1773">
      <x:c r="A1773" s="17" t="n">
        <x:v>45576</x:v>
      </x:c>
      <x:c r="B1773" s="18" t="n">
        <x:v>2629.75</x:v>
      </x:c>
      <x:c r="C1773" s="18" t="n">
        <x:v>2661.4</x:v>
      </x:c>
      <x:c r="D1773" s="18" t="n">
        <x:v>2628.02</x:v>
      </x:c>
      <x:c r="E1773" s="18" t="n">
        <x:v>2656.38</x:v>
      </x:c>
      <x:c r="F1773" s="19" t="n">
        <x:v>80192</x:v>
      </x:c>
    </x:row>
    <x:row r="1774">
      <x:c r="A1774" s="17" t="n">
        <x:v>45579</x:v>
      </x:c>
      <x:c r="B1774" s="18" t="n">
        <x:v>2655.69</x:v>
      </x:c>
      <x:c r="C1774" s="18" t="n">
        <x:v>2666.77</x:v>
      </x:c>
      <x:c r="D1774" s="18" t="n">
        <x:v>2643.17</x:v>
      </x:c>
      <x:c r="E1774" s="18" t="n">
        <x:v>2648.52</x:v>
      </x:c>
      <x:c r="F1774" s="19" t="n">
        <x:v>79898</x:v>
      </x:c>
    </x:row>
    <x:row r="1775">
      <x:c r="A1775" s="17" t="n">
        <x:v>45580</x:v>
      </x:c>
      <x:c r="B1775" s="18" t="n">
        <x:v>2648.48</x:v>
      </x:c>
      <x:c r="C1775" s="18" t="n">
        <x:v>2668.96</x:v>
      </x:c>
      <x:c r="D1775" s="18" t="n">
        <x:v>2638.33</x:v>
      </x:c>
      <x:c r="E1775" s="18" t="n">
        <x:v>2662.64</x:v>
      </x:c>
      <x:c r="F1775" s="19" t="n">
        <x:v>85041</x:v>
      </x:c>
    </x:row>
    <x:row r="1776">
      <x:c r="A1776" s="17" t="n">
        <x:v>45581</x:v>
      </x:c>
      <x:c r="B1776" s="18" t="n">
        <x:v>2662.43</x:v>
      </x:c>
      <x:c r="C1776" s="18" t="n">
        <x:v>2685.24</x:v>
      </x:c>
      <x:c r="D1776" s="18" t="n">
        <x:v>2658.73</x:v>
      </x:c>
      <x:c r="E1776" s="18" t="n">
        <x:v>2673.64</x:v>
      </x:c>
      <x:c r="F1776" s="19" t="n">
        <x:v>81811</x:v>
      </x:c>
    </x:row>
    <x:row r="1777">
      <x:c r="A1777" s="17" t="n">
        <x:v>45582</x:v>
      </x:c>
      <x:c r="B1777" s="18" t="n">
        <x:v>2673.91</x:v>
      </x:c>
      <x:c r="C1777" s="18" t="n">
        <x:v>2696.74</x:v>
      </x:c>
      <x:c r="D1777" s="18" t="n">
        <x:v>2673.15</x:v>
      </x:c>
      <x:c r="E1777" s="18" t="n">
        <x:v>2692.83</x:v>
      </x:c>
      <x:c r="F1777" s="19" t="n">
        <x:v>87494</x:v>
      </x:c>
    </x:row>
    <x:row r="1778">
      <x:c r="A1778" s="17" t="n">
        <x:v>45583</x:v>
      </x:c>
      <x:c r="B1778" s="18" t="n">
        <x:v>2692.69</x:v>
      </x:c>
      <x:c r="C1778" s="18" t="n">
        <x:v>2722.6</x:v>
      </x:c>
      <x:c r="D1778" s="18" t="n">
        <x:v>2691.82</x:v>
      </x:c>
      <x:c r="E1778" s="18" t="n">
        <x:v>2721.91</x:v>
      </x:c>
      <x:c r="F1778" s="19" t="n">
        <x:v>87565</x:v>
      </x:c>
    </x:row>
    <x:row r="1779">
      <x:c r="A1779" s="17" t="n">
        <x:v>45586</x:v>
      </x:c>
      <x:c r="B1779" s="18" t="n">
        <x:v>2720.16</x:v>
      </x:c>
      <x:c r="C1779" s="18" t="n">
        <x:v>2740.56</x:v>
      </x:c>
      <x:c r="D1779" s="18" t="n">
        <x:v>2714.27</x:v>
      </x:c>
      <x:c r="E1779" s="18" t="n">
        <x:v>2719.5</x:v>
      </x:c>
      <x:c r="F1779" s="19" t="n">
        <x:v>94372</x:v>
      </x:c>
    </x:row>
    <x:row r="1780">
      <x:c r="A1780" s="17" t="n">
        <x:v>45587</x:v>
      </x:c>
      <x:c r="B1780" s="18" t="n">
        <x:v>2719.49</x:v>
      </x:c>
      <x:c r="C1780" s="18" t="n">
        <x:v>2748.86</x:v>
      </x:c>
      <x:c r="D1780" s="18" t="n">
        <x:v>2718.93</x:v>
      </x:c>
      <x:c r="E1780" s="18" t="n">
        <x:v>2748.81</x:v>
      </x:c>
      <x:c r="F1780" s="19" t="n">
        <x:v>87044</x:v>
      </x:c>
    </x:row>
    <x:row r="1781">
      <x:c r="A1781" s="17" t="n">
        <x:v>45588</x:v>
      </x:c>
      <x:c r="B1781" s="18" t="n">
        <x:v>2748.27</x:v>
      </x:c>
      <x:c r="C1781" s="18" t="n">
        <x:v>2758.47</x:v>
      </x:c>
      <x:c r="D1781" s="18" t="n">
        <x:v>2708.78</x:v>
      </x:c>
      <x:c r="E1781" s="18" t="n">
        <x:v>2715.57</x:v>
      </x:c>
      <x:c r="F1781" s="19" t="n">
        <x:v>92031</x:v>
      </x:c>
    </x:row>
    <x:row r="1782">
      <x:c r="A1782" s="17" t="n">
        <x:v>45589</x:v>
      </x:c>
      <x:c r="B1782" s="18" t="n">
        <x:v>2715.39</x:v>
      </x:c>
      <x:c r="C1782" s="18" t="n">
        <x:v>2743.19</x:v>
      </x:c>
      <x:c r="D1782" s="18" t="n">
        <x:v>2715.09</x:v>
      </x:c>
      <x:c r="E1782" s="18" t="n">
        <x:v>2735.84</x:v>
      </x:c>
      <x:c r="F1782" s="19" t="n">
        <x:v>90227</x:v>
      </x:c>
    </x:row>
    <x:row r="1783">
      <x:c r="A1783" s="17" t="n">
        <x:v>45590</x:v>
      </x:c>
      <x:c r="B1783" s="18" t="n">
        <x:v>2735.83</x:v>
      </x:c>
      <x:c r="C1783" s="18" t="n">
        <x:v>2747.55</x:v>
      </x:c>
      <x:c r="D1783" s="18" t="n">
        <x:v>2717.02</x:v>
      </x:c>
      <x:c r="E1783" s="18" t="n">
        <x:v>2747.39</x:v>
      </x:c>
      <x:c r="F1783" s="19" t="n">
        <x:v>84877</x:v>
      </x:c>
    </x:row>
    <x:row r="1784">
      <x:c r="A1784" s="17" t="n">
        <x:v>45593</x:v>
      </x:c>
      <x:c r="B1784" s="18" t="n">
        <x:v>2732.7</x:v>
      </x:c>
      <x:c r="C1784" s="18" t="n">
        <x:v>2745.92</x:v>
      </x:c>
      <x:c r="D1784" s="18" t="n">
        <x:v>2724.72</x:v>
      </x:c>
      <x:c r="E1784" s="18" t="n">
        <x:v>2742.24</x:v>
      </x:c>
      <x:c r="F1784" s="19" t="n">
        <x:v>87422</x:v>
      </x:c>
    </x:row>
    <x:row r="1785">
      <x:c r="A1785" s="17" t="n">
        <x:v>45594</x:v>
      </x:c>
      <x:c r="B1785" s="18" t="n">
        <x:v>2741.97</x:v>
      </x:c>
      <x:c r="C1785" s="18" t="n">
        <x:v>2774.75</x:v>
      </x:c>
      <x:c r="D1785" s="18" t="n">
        <x:v>2739.8</x:v>
      </x:c>
      <x:c r="E1785" s="18" t="n">
        <x:v>2774.44</x:v>
      </x:c>
      <x:c r="F1785" s="19" t="n">
        <x:v>92516</x:v>
      </x:c>
    </x:row>
    <x:row r="1786">
      <x:c r="A1786" s="17" t="n">
        <x:v>45595</x:v>
      </x:c>
      <x:c r="B1786" s="18" t="n">
        <x:v>2774.11</x:v>
      </x:c>
      <x:c r="C1786" s="18" t="n">
        <x:v>2790.05</x:v>
      </x:c>
      <x:c r="D1786" s="18" t="n">
        <x:v>2770.87</x:v>
      </x:c>
      <x:c r="E1786" s="18" t="n">
        <x:v>2787.21</x:v>
      </x:c>
      <x:c r="F1786" s="19" t="n">
        <x:v>92262</x:v>
      </x:c>
    </x:row>
    <x:row r="1787">
      <x:c r="A1787" s="17" t="n">
        <x:v>45596</x:v>
      </x:c>
      <x:c r="B1787" s="18" t="n">
        <x:v>2787.85</x:v>
      </x:c>
      <x:c r="C1787" s="18" t="n">
        <x:v>2790.09</x:v>
      </x:c>
      <x:c r="D1787" s="18" t="n">
        <x:v>2731.64</x:v>
      </x:c>
      <x:c r="E1787" s="18" t="n">
        <x:v>2743.77</x:v>
      </x:c>
      <x:c r="F1787" s="19" t="n">
        <x:v>91037</x:v>
      </x:c>
    </x:row>
    <x:row r="1788">
      <x:c r="A1788" s="17" t="n">
        <x:v>45597</x:v>
      </x:c>
      <x:c r="B1788" s="18" t="n">
        <x:v>2743.91</x:v>
      </x:c>
      <x:c r="C1788" s="18" t="n">
        <x:v>2762.26</x:v>
      </x:c>
      <x:c r="D1788" s="18" t="n">
        <x:v>2733.17</x:v>
      </x:c>
      <x:c r="E1788" s="18" t="n">
        <x:v>2735.84</x:v>
      </x:c>
      <x:c r="F1788" s="19" t="n">
        <x:v>95509</x:v>
      </x:c>
    </x:row>
    <x:row r="1789">
      <x:c r="A1789" s="17" t="n">
        <x:v>45600</x:v>
      </x:c>
      <x:c r="B1789" s="18" t="n">
        <x:v>2738.13</x:v>
      </x:c>
      <x:c r="C1789" s="18" t="n">
        <x:v>2748.16</x:v>
      </x:c>
      <x:c r="D1789" s="18" t="n">
        <x:v>2730.55</x:v>
      </x:c>
      <x:c r="E1789" s="18" t="n">
        <x:v>2736.46</x:v>
      </x:c>
      <x:c r="F1789" s="19" t="n">
        <x:v>96948</x:v>
      </x:c>
    </x:row>
    <x:row r="1790">
      <x:c r="A1790" s="17" t="n">
        <x:v>45601</x:v>
      </x:c>
      <x:c r="B1790" s="18" t="n">
        <x:v>2736.84</x:v>
      </x:c>
      <x:c r="C1790" s="18" t="n">
        <x:v>2749.88</x:v>
      </x:c>
      <x:c r="D1790" s="18" t="n">
        <x:v>2724.71</x:v>
      </x:c>
      <x:c r="E1790" s="18" t="n">
        <x:v>2743.72</x:v>
      </x:c>
      <x:c r="F1790" s="19" t="n">
        <x:v>89174</x:v>
      </x:c>
    </x:row>
    <x:row r="1791">
      <x:c r="A1791" s="17" t="n">
        <x:v>45602</x:v>
      </x:c>
      <x:c r="B1791" s="18" t="n">
        <x:v>2743.32</x:v>
      </x:c>
      <x:c r="C1791" s="18" t="n">
        <x:v>2749.69</x:v>
      </x:c>
      <x:c r="D1791" s="18" t="n">
        <x:v>2652.44</x:v>
      </x:c>
      <x:c r="E1791" s="18" t="n">
        <x:v>2658.94</x:v>
      </x:c>
      <x:c r="F1791" s="19" t="n">
        <x:v>119755</x:v>
      </x:c>
    </x:row>
    <x:row r="1792">
      <x:c r="A1792" s="17" t="n">
        <x:v>45603</x:v>
      </x:c>
      <x:c r="B1792" s="18" t="n">
        <x:v>2659.18</x:v>
      </x:c>
      <x:c r="C1792" s="18" t="n">
        <x:v>2710.27</x:v>
      </x:c>
      <x:c r="D1792" s="18" t="n">
        <x:v>2643.33</x:v>
      </x:c>
      <x:c r="E1792" s="18" t="n">
        <x:v>2706.24</x:v>
      </x:c>
      <x:c r="F1792" s="19" t="n">
        <x:v>104394</x:v>
      </x:c>
    </x:row>
    <x:row r="1793">
      <x:c r="A1793" s="17" t="n">
        <x:v>45604</x:v>
      </x:c>
      <x:c r="B1793" s="18" t="n">
        <x:v>2705.81</x:v>
      </x:c>
      <x:c r="C1793" s="18" t="n">
        <x:v>2710.35</x:v>
      </x:c>
      <x:c r="D1793" s="18" t="n">
        <x:v>2680.35</x:v>
      </x:c>
      <x:c r="E1793" s="18" t="n">
        <x:v>2684.15</x:v>
      </x:c>
      <x:c r="F1793" s="19" t="n">
        <x:v>97232</x:v>
      </x:c>
    </x:row>
    <x:row r="1794">
      <x:c r="A1794" s="17" t="n">
        <x:v>45607</x:v>
      </x:c>
      <x:c r="B1794" s="18" t="n">
        <x:v>2682.96</x:v>
      </x:c>
      <x:c r="C1794" s="18" t="n">
        <x:v>2686.22</x:v>
      </x:c>
      <x:c r="D1794" s="18" t="n">
        <x:v>2610.59</x:v>
      </x:c>
      <x:c r="E1794" s="18" t="n">
        <x:v>2619.3</x:v>
      </x:c>
      <x:c r="F1794" s="19" t="n">
        <x:v>96185</x:v>
      </x:c>
    </x:row>
    <x:row r="1795">
      <x:c r="A1795" s="17" t="n">
        <x:v>45608</x:v>
      </x:c>
      <x:c r="B1795" s="18" t="n">
        <x:v>2619.5</x:v>
      </x:c>
      <x:c r="C1795" s="18" t="n">
        <x:v>2627.13</x:v>
      </x:c>
      <x:c r="D1795" s="18" t="n">
        <x:v>2589.81</x:v>
      </x:c>
      <x:c r="E1795" s="18" t="n">
        <x:v>2597.98</x:v>
      </x:c>
      <x:c r="F1795" s="19" t="n">
        <x:v>101759</x:v>
      </x:c>
    </x:row>
    <x:row r="1796">
      <x:c r="A1796" s="17" t="n">
        <x:v>45609</x:v>
      </x:c>
      <x:c r="B1796" s="18" t="n">
        <x:v>2598.53</x:v>
      </x:c>
      <x:c r="C1796" s="18" t="n">
        <x:v>2618.81</x:v>
      </x:c>
      <x:c r="D1796" s="18" t="n">
        <x:v>2572.65</x:v>
      </x:c>
      <x:c r="E1796" s="18" t="n">
        <x:v>2572.7</x:v>
      </x:c>
      <x:c r="F1796" s="19" t="n">
        <x:v>97489</x:v>
      </x:c>
    </x:row>
    <x:row r="1797">
      <x:c r="A1797" s="17" t="n">
        <x:v>45610</x:v>
      </x:c>
      <x:c r="B1797" s="18" t="n">
        <x:v>2574.82</x:v>
      </x:c>
      <x:c r="C1797" s="18" t="n">
        <x:v>2581.29</x:v>
      </x:c>
      <x:c r="D1797" s="18" t="n">
        <x:v>2536.77</x:v>
      </x:c>
      <x:c r="E1797" s="18" t="n">
        <x:v>2564.53</x:v>
      </x:c>
      <x:c r="F1797" s="19" t="n">
        <x:v>109662</x:v>
      </x:c>
    </x:row>
    <x:row r="1798">
      <x:c r="A1798" s="17" t="n">
        <x:v>45611</x:v>
      </x:c>
      <x:c r="B1798" s="18" t="n">
        <x:v>2565.12</x:v>
      </x:c>
      <x:c r="C1798" s="18" t="n">
        <x:v>2576.05</x:v>
      </x:c>
      <x:c r="D1798" s="18" t="n">
        <x:v>2554.58</x:v>
      </x:c>
      <x:c r="E1798" s="18" t="n">
        <x:v>2561.78</x:v>
      </x:c>
      <x:c r="F1798" s="19" t="n">
        <x:v>100256</x:v>
      </x:c>
    </x:row>
    <x:row r="1799">
      <x:c r="A1799" s="17" t="n">
        <x:v>45614</x:v>
      </x:c>
      <x:c r="B1799" s="18" t="n">
        <x:v>2564.94</x:v>
      </x:c>
      <x:c r="C1799" s="18" t="n">
        <x:v>2615.02</x:v>
      </x:c>
      <x:c r="D1799" s="18" t="n">
        <x:v>2564.79</x:v>
      </x:c>
      <x:c r="E1799" s="18" t="n">
        <x:v>2611.72</x:v>
      </x:c>
      <x:c r="F1799" s="19" t="n">
        <x:v>97519</x:v>
      </x:c>
    </x:row>
    <x:row r="1800">
      <x:c r="A1800" s="17" t="n">
        <x:v>45615</x:v>
      </x:c>
      <x:c r="B1800" s="18" t="n">
        <x:v>2611.74</x:v>
      </x:c>
      <x:c r="C1800" s="18" t="n">
        <x:v>2639.4</x:v>
      </x:c>
      <x:c r="D1800" s="18" t="n">
        <x:v>2610.23</x:v>
      </x:c>
      <x:c r="E1800" s="18" t="n">
        <x:v>2632.11</x:v>
      </x:c>
      <x:c r="F1800" s="19" t="n">
        <x:v>96397</x:v>
      </x:c>
    </x:row>
    <x:row r="1801">
      <x:c r="A1801" s="17" t="n">
        <x:v>45616</x:v>
      </x:c>
      <x:c r="B1801" s="18" t="n">
        <x:v>2632</x:v>
      </x:c>
      <x:c r="C1801" s="18" t="n">
        <x:v>2655.35</x:v>
      </x:c>
      <x:c r="D1801" s="18" t="n">
        <x:v>2618.91</x:v>
      </x:c>
      <x:c r="E1801" s="18" t="n">
        <x:v>2650.08</x:v>
      </x:c>
      <x:c r="F1801" s="19" t="n">
        <x:v>94155</x:v>
      </x:c>
    </x:row>
    <x:row r="1802">
      <x:c r="A1802" s="17" t="n">
        <x:v>45617</x:v>
      </x:c>
      <x:c r="B1802" s="18" t="n">
        <x:v>2649.8</x:v>
      </x:c>
      <x:c r="C1802" s="18" t="n">
        <x:v>2673.47</x:v>
      </x:c>
      <x:c r="D1802" s="18" t="n">
        <x:v>2648.63</x:v>
      </x:c>
      <x:c r="E1802" s="18" t="n">
        <x:v>2669.41</x:v>
      </x:c>
      <x:c r="F1802" s="19" t="n">
        <x:v>94033</x:v>
      </x:c>
    </x:row>
    <x:row r="1803">
      <x:c r="A1803" s="17" t="n">
        <x:v>45618</x:v>
      </x:c>
      <x:c r="B1803" s="18" t="n">
        <x:v>2669.66</x:v>
      </x:c>
      <x:c r="C1803" s="18" t="n">
        <x:v>2715.5</x:v>
      </x:c>
      <x:c r="D1803" s="18" t="n">
        <x:v>2668.21</x:v>
      </x:c>
      <x:c r="E1803" s="18" t="n">
        <x:v>2715.34</x:v>
      </x:c>
      <x:c r="F1803" s="19" t="n">
        <x:v>102746</x:v>
      </x:c>
    </x:row>
    <x:row r="1804">
      <x:c r="A1804" s="17" t="n">
        <x:v>45621</x:v>
      </x:c>
      <x:c r="B1804" s="18" t="n">
        <x:v>2692.25</x:v>
      </x:c>
      <x:c r="C1804" s="18" t="n">
        <x:v>2721.31</x:v>
      </x:c>
      <x:c r="D1804" s="18" t="n">
        <x:v>2615.6</x:v>
      </x:c>
      <x:c r="E1804" s="18" t="n">
        <x:v>2625.46</x:v>
      </x:c>
      <x:c r="F1804" s="19" t="n">
        <x:v>105609</x:v>
      </x:c>
    </x:row>
    <x:row r="1805">
      <x:c r="A1805" s="17" t="n">
        <x:v>45622</x:v>
      </x:c>
      <x:c r="B1805" s="18" t="n">
        <x:v>2625.01</x:v>
      </x:c>
      <x:c r="C1805" s="18" t="n">
        <x:v>2641.9</x:v>
      </x:c>
      <x:c r="D1805" s="18" t="n">
        <x:v>2604.86</x:v>
      </x:c>
      <x:c r="E1805" s="18" t="n">
        <x:v>2633.02</x:v>
      </x:c>
      <x:c r="F1805" s="19" t="n">
        <x:v>100386</x:v>
      </x:c>
    </x:row>
    <x:row r="1806">
      <x:c r="A1806" s="17" t="n">
        <x:v>45623</x:v>
      </x:c>
      <x:c r="B1806" s="18" t="n">
        <x:v>2630.47</x:v>
      </x:c>
      <x:c r="C1806" s="18" t="n">
        <x:v>2658.2</x:v>
      </x:c>
      <x:c r="D1806" s="18" t="n">
        <x:v>2627</x:v>
      </x:c>
      <x:c r="E1806" s="18" t="n">
        <x:v>2635.95</x:v>
      </x:c>
      <x:c r="F1806" s="19" t="n">
        <x:v>89383</x:v>
      </x:c>
    </x:row>
    <x:row r="1807">
      <x:c r="A1807" s="17" t="n">
        <x:v>45624</x:v>
      </x:c>
      <x:c r="B1807" s="18" t="n">
        <x:v>2637.8</x:v>
      </x:c>
      <x:c r="C1807" s="18" t="n">
        <x:v>2649.57</x:v>
      </x:c>
      <x:c r="D1807" s="18" t="n">
        <x:v>2620.92</x:v>
      </x:c>
      <x:c r="E1807" s="18" t="n">
        <x:v>2637.07</x:v>
      </x:c>
      <x:c r="F1807" s="19" t="n">
        <x:v>64090</x:v>
      </x:c>
    </x:row>
    <x:row r="1808">
      <x:c r="A1808" s="17" t="n">
        <x:v>45625</x:v>
      </x:c>
      <x:c r="B1808" s="18" t="n">
        <x:v>2637.58</x:v>
      </x:c>
      <x:c r="C1808" s="18" t="n">
        <x:v>2666.37</x:v>
      </x:c>
      <x:c r="D1808" s="18" t="n">
        <x:v>2634.03</x:v>
      </x:c>
      <x:c r="E1808" s="18" t="n">
        <x:v>2650.33</x:v>
      </x:c>
      <x:c r="F1808" s="19" t="n">
        <x:v>86260</x:v>
      </x:c>
    </x:row>
    <x:row r="1809">
      <x:c r="A1809" s="17" t="n">
        <x:v>45628</x:v>
      </x:c>
      <x:c r="B1809" s="18" t="n">
        <x:v>2652.01</x:v>
      </x:c>
      <x:c r="C1809" s="18" t="n">
        <x:v>2652.69</x:v>
      </x:c>
      <x:c r="D1809" s="18" t="n">
        <x:v>2621.86</x:v>
      </x:c>
      <x:c r="E1809" s="18" t="n">
        <x:v>2638.62</x:v>
      </x:c>
      <x:c r="F1809" s="19" t="n">
        <x:v>103110</x:v>
      </x:c>
    </x:row>
    <x:row r="1810">
      <x:c r="A1810" s="17" t="n">
        <x:v>45629</x:v>
      </x:c>
      <x:c r="B1810" s="18" t="n">
        <x:v>2639.23</x:v>
      </x:c>
      <x:c r="C1810" s="18" t="n">
        <x:v>2655.56</x:v>
      </x:c>
      <x:c r="D1810" s="18" t="n">
        <x:v>2634.11</x:v>
      </x:c>
      <x:c r="E1810" s="18" t="n">
        <x:v>2643.5</x:v>
      </x:c>
      <x:c r="F1810" s="19" t="n">
        <x:v>91928</x:v>
      </x:c>
    </x:row>
    <x:row r="1811">
      <x:c r="A1811" s="17" t="n">
        <x:v>45630</x:v>
      </x:c>
      <x:c r="B1811" s="18" t="n">
        <x:v>2643.29</x:v>
      </x:c>
      <x:c r="C1811" s="18" t="n">
        <x:v>2656.99</x:v>
      </x:c>
      <x:c r="D1811" s="18" t="n">
        <x:v>2632.31</x:v>
      </x:c>
      <x:c r="E1811" s="18" t="n">
        <x:v>2649.88</x:v>
      </x:c>
      <x:c r="F1811" s="19" t="n">
        <x:v>93798</x:v>
      </x:c>
    </x:row>
    <x:row r="1812">
      <x:c r="A1812" s="17" t="n">
        <x:v>45631</x:v>
      </x:c>
      <x:c r="B1812" s="18" t="n">
        <x:v>2649.6</x:v>
      </x:c>
      <x:c r="C1812" s="18" t="n">
        <x:v>2655.54</x:v>
      </x:c>
      <x:c r="D1812" s="18" t="n">
        <x:v>2623.52</x:v>
      </x:c>
      <x:c r="E1812" s="18" t="n">
        <x:v>2631.66</x:v>
      </x:c>
      <x:c r="F1812" s="19" t="n">
        <x:v>87579</x:v>
      </x:c>
    </x:row>
    <x:row r="1813">
      <x:c r="A1813" s="17" t="n">
        <x:v>45632</x:v>
      </x:c>
      <x:c r="B1813" s="18" t="n">
        <x:v>2631.76</x:v>
      </x:c>
      <x:c r="C1813" s="18" t="n">
        <x:v>2645.6</x:v>
      </x:c>
      <x:c r="D1813" s="18" t="n">
        <x:v>2612.32</x:v>
      </x:c>
      <x:c r="E1813" s="18" t="n">
        <x:v>2632.67</x:v>
      </x:c>
      <x:c r="F1813" s="19" t="n">
        <x:v>91127</x:v>
      </x:c>
    </x:row>
    <x:row r="1814">
      <x:c r="A1814" s="17" t="n">
        <x:v>45635</x:v>
      </x:c>
      <x:c r="B1814" s="18" t="n">
        <x:v>2643.88</x:v>
      </x:c>
      <x:c r="C1814" s="18" t="n">
        <x:v>2676.32</x:v>
      </x:c>
      <x:c r="D1814" s="18" t="n">
        <x:v>2627.57</x:v>
      </x:c>
      <x:c r="E1814" s="18" t="n">
        <x:v>2660.18</x:v>
      </x:c>
      <x:c r="F1814" s="19" t="n">
        <x:v>98808</x:v>
      </x:c>
    </x:row>
    <x:row r="1815">
      <x:c r="A1815" s="17" t="n">
        <x:v>45636</x:v>
      </x:c>
      <x:c r="B1815" s="18" t="n">
        <x:v>2660.85</x:v>
      </x:c>
      <x:c r="C1815" s="18" t="n">
        <x:v>2695.46</x:v>
      </x:c>
      <x:c r="D1815" s="18" t="n">
        <x:v>2657.93</x:v>
      </x:c>
      <x:c r="E1815" s="18" t="n">
        <x:v>2693.8</x:v>
      </x:c>
      <x:c r="F1815" s="19" t="n">
        <x:v>92398</x:v>
      </x:c>
    </x:row>
    <x:row r="1816">
      <x:c r="A1816" s="17" t="n">
        <x:v>45637</x:v>
      </x:c>
      <x:c r="B1816" s="18" t="n">
        <x:v>2693.98</x:v>
      </x:c>
      <x:c r="C1816" s="18" t="n">
        <x:v>2721.07</x:v>
      </x:c>
      <x:c r="D1816" s="18" t="n">
        <x:v>2674.85</x:v>
      </x:c>
      <x:c r="E1816" s="18" t="n">
        <x:v>2717.95</x:v>
      </x:c>
      <x:c r="F1816" s="19" t="n">
        <x:v>100382</x:v>
      </x:c>
    </x:row>
    <x:row r="1817">
      <x:c r="A1817" s="17" t="n">
        <x:v>45638</x:v>
      </x:c>
      <x:c r="B1817" s="18" t="n">
        <x:v>2717.58</x:v>
      </x:c>
      <x:c r="C1817" s="18" t="n">
        <x:v>2726.15</x:v>
      </x:c>
      <x:c r="D1817" s="18" t="n">
        <x:v>2675.03</x:v>
      </x:c>
      <x:c r="E1817" s="18" t="n">
        <x:v>2680.55</x:v>
      </x:c>
      <x:c r="F1817" s="19" t="n">
        <x:v>97260</x:v>
      </x:c>
    </x:row>
    <x:row r="1818">
      <x:c r="A1818" s="17" t="n">
        <x:v>45639</x:v>
      </x:c>
      <x:c r="B1818" s="18" t="n">
        <x:v>2681</x:v>
      </x:c>
      <x:c r="C1818" s="18" t="n">
        <x:v>2692.77</x:v>
      </x:c>
      <x:c r="D1818" s="18" t="n">
        <x:v>2645.68</x:v>
      </x:c>
      <x:c r="E1818" s="18" t="n">
        <x:v>2648.8</x:v>
      </x:c>
      <x:c r="F1818" s="19" t="n">
        <x:v>96541</x:v>
      </x:c>
    </x:row>
    <x:row r="1819">
      <x:c r="A1819" s="17" t="n">
        <x:v>45642</x:v>
      </x:c>
      <x:c r="B1819" s="18" t="n">
        <x:v>2650.72</x:v>
      </x:c>
      <x:c r="C1819" s="18" t="n">
        <x:v>2664.23</x:v>
      </x:c>
      <x:c r="D1819" s="18" t="n">
        <x:v>2643.52</x:v>
      </x:c>
      <x:c r="E1819" s="18" t="n">
        <x:v>2652.62</x:v>
      </x:c>
      <x:c r="F1819" s="19" t="n">
        <x:v>74306</x:v>
      </x:c>
    </x:row>
    <x:row r="1820">
      <x:c r="A1820" s="17" t="n">
        <x:v>45643</x:v>
      </x:c>
      <x:c r="B1820" s="18" t="n">
        <x:v>2652.65</x:v>
      </x:c>
      <x:c r="C1820" s="18" t="n">
        <x:v>2658.57</x:v>
      </x:c>
      <x:c r="D1820" s="18" t="n">
        <x:v>2633.03</x:v>
      </x:c>
      <x:c r="E1820" s="18" t="n">
        <x:v>2646.4</x:v>
      </x:c>
      <x:c r="F1820" s="19" t="n">
        <x:v>82723</x:v>
      </x:c>
    </x:row>
    <x:row r="1821">
      <x:c r="A1821" s="17" t="n">
        <x:v>45644</x:v>
      </x:c>
      <x:c r="B1821" s="18" t="n">
        <x:v>2646.32</x:v>
      </x:c>
      <x:c r="C1821" s="18" t="n">
        <x:v>2651.7</x:v>
      </x:c>
      <x:c r="D1821" s="18" t="n">
        <x:v>2583.62</x:v>
      </x:c>
      <x:c r="E1821" s="18" t="n">
        <x:v>2585.31</x:v>
      </x:c>
      <x:c r="F1821" s="19" t="n">
        <x:v>82407</x:v>
      </x:c>
    </x:row>
    <x:row r="1822">
      <x:c r="A1822" s="17" t="n">
        <x:v>45645</x:v>
      </x:c>
      <x:c r="B1822" s="18" t="n">
        <x:v>2585.48</x:v>
      </x:c>
      <x:c r="C1822" s="18" t="n">
        <x:v>2626.42</x:v>
      </x:c>
      <x:c r="D1822" s="18" t="n">
        <x:v>2582.92</x:v>
      </x:c>
      <x:c r="E1822" s="18" t="n">
        <x:v>2594.39</x:v>
      </x:c>
      <x:c r="F1822" s="19" t="n">
        <x:v>90171</x:v>
      </x:c>
    </x:row>
    <x:row r="1823">
      <x:c r="A1823" s="17" t="n">
        <x:v>45646</x:v>
      </x:c>
      <x:c r="B1823" s="18" t="n">
        <x:v>2594.75</x:v>
      </x:c>
      <x:c r="C1823" s="18" t="n">
        <x:v>2631.82</x:v>
      </x:c>
      <x:c r="D1823" s="18" t="n">
        <x:v>2589.69</x:v>
      </x:c>
      <x:c r="E1823" s="18" t="n">
        <x:v>2623.03</x:v>
      </x:c>
      <x:c r="F1823" s="19" t="n">
        <x:v>84572</x:v>
      </x:c>
    </x:row>
    <x:row r="1824">
      <x:c r="A1824" s="17" t="n">
        <x:v>45649</x:v>
      </x:c>
      <x:c r="B1824" s="18" t="n">
        <x:v>2620.78</x:v>
      </x:c>
      <x:c r="C1824" s="18" t="n">
        <x:v>2633.22</x:v>
      </x:c>
      <x:c r="D1824" s="18" t="n">
        <x:v>2608.13</x:v>
      </x:c>
      <x:c r="E1824" s="18" t="n">
        <x:v>2612.77</x:v>
      </x:c>
      <x:c r="F1824" s="19" t="n">
        <x:v>77618</x:v>
      </x:c>
    </x:row>
    <x:row r="1825">
      <x:c r="A1825" s="17" t="n">
        <x:v>45650</x:v>
      </x:c>
      <x:c r="B1825" s="18" t="n">
        <x:v>2613.12</x:v>
      </x:c>
      <x:c r="C1825" s="18" t="n">
        <x:v>2621.46</x:v>
      </x:c>
      <x:c r="D1825" s="18" t="n">
        <x:v>2610.02</x:v>
      </x:c>
      <x:c r="E1825" s="18" t="n">
        <x:v>2616.59</x:v>
      </x:c>
      <x:c r="F1825" s="19" t="n">
        <x:v>56605</x:v>
      </x:c>
    </x:row>
    <x:row r="1826">
      <x:c r="A1826" s="17" t="n">
        <x:v>45652</x:v>
      </x:c>
      <x:c r="B1826" s="18" t="n">
        <x:v>2616.14</x:v>
      </x:c>
      <x:c r="C1826" s="18" t="n">
        <x:v>2639.14</x:v>
      </x:c>
      <x:c r="D1826" s="18" t="n">
        <x:v>2614.12</x:v>
      </x:c>
      <x:c r="E1826" s="18" t="n">
        <x:v>2633.53</x:v>
      </x:c>
      <x:c r="F1826" s="19" t="n">
        <x:v>63754</x:v>
      </x:c>
    </x:row>
    <x:row r="1827">
      <x:c r="A1827" s="17" t="n">
        <x:v>45653</x:v>
      </x:c>
      <x:c r="B1827" s="18" t="n">
        <x:v>2635.7</x:v>
      </x:c>
      <x:c r="C1827" s="18" t="n">
        <x:v>2638.34</x:v>
      </x:c>
      <x:c r="D1827" s="18" t="n">
        <x:v>2611.69</x:v>
      </x:c>
      <x:c r="E1827" s="18" t="n">
        <x:v>2621.54</x:v>
      </x:c>
      <x:c r="F1827" s="19" t="n">
        <x:v>69633</x:v>
      </x:c>
    </x:row>
    <x:row r="1828">
      <x:c r="A1828" s="17" t="n">
        <x:v>45656</x:v>
      </x:c>
      <x:c r="B1828" s="18" t="n">
        <x:v>2621.03</x:v>
      </x:c>
      <x:c r="C1828" s="18" t="n">
        <x:v>2628.13</x:v>
      </x:c>
      <x:c r="D1828" s="18" t="n">
        <x:v>2596.09</x:v>
      </x:c>
      <x:c r="E1828" s="18" t="n">
        <x:v>2605.96</x:v>
      </x:c>
      <x:c r="F1828" s="19" t="n">
        <x:v>69847</x:v>
      </x:c>
    </x:row>
    <x:row r="1829">
      <x:c r="A1829" s="17" t="n">
        <x:v>45657</x:v>
      </x:c>
      <x:c r="B1829" s="18" t="n">
        <x:v>2605.71</x:v>
      </x:c>
      <x:c r="C1829" s="18" t="n">
        <x:v>2627.58</x:v>
      </x:c>
      <x:c r="D1829" s="18" t="n">
        <x:v>2602.59</x:v>
      </x:c>
      <x:c r="E1829" s="18" t="n">
        <x:v>2624.61</x:v>
      </x:c>
      <x:c r="F1829" s="19" t="n">
        <x:v>69268</x:v>
      </x:c>
    </x:row>
    <x:row r="1830">
      <x:c r="A1830" s="17" t="n">
        <x:v>45659</x:v>
      </x:c>
      <x:c r="B1830" s="18" t="n">
        <x:v>2624.48</x:v>
      </x:c>
      <x:c r="C1830" s="18" t="n">
        <x:v>2660.46</x:v>
      </x:c>
      <x:c r="D1830" s="18" t="n">
        <x:v>2621.48</x:v>
      </x:c>
      <x:c r="E1830" s="18" t="n">
        <x:v>2657.98</x:v>
      </x:c>
      <x:c r="F1830" s="19" t="n">
        <x:v>83419</x:v>
      </x:c>
    </x:row>
    <x:row r="1831">
      <x:c r="A1831" s="17" t="n">
        <x:v>45660</x:v>
      </x:c>
      <x:c r="B1831" s="18" t="n">
        <x:v>2658.34</x:v>
      </x:c>
      <x:c r="C1831" s="18" t="n">
        <x:v>2665.15</x:v>
      </x:c>
      <x:c r="D1831" s="18" t="n">
        <x:v>2636.51</x:v>
      </x:c>
      <x:c r="E1831" s="18" t="n">
        <x:v>2639.98</x:v>
      </x:c>
      <x:c r="F1831" s="19" t="n">
        <x:v>74593</x:v>
      </x:c>
    </x:row>
    <x:row r="1832">
      <x:c r="A1832" s="17" t="n">
        <x:v>45663</x:v>
      </x:c>
      <x:c r="B1832" s="18" t="n">
        <x:v>2641.45</x:v>
      </x:c>
      <x:c r="C1832" s="18" t="n">
        <x:v>2649.45</x:v>
      </x:c>
      <x:c r="D1832" s="18" t="n">
        <x:v>2614.45</x:v>
      </x:c>
      <x:c r="E1832" s="18" t="n">
        <x:v>2635.77</x:v>
      </x:c>
      <x:c r="F1832" s="19" t="n">
        <x:v>83848</x:v>
      </x:c>
    </x:row>
    <x:row r="1833">
      <x:c r="A1833" s="17" t="n">
        <x:v>45664</x:v>
      </x:c>
      <x:c r="B1833" s="18" t="n">
        <x:v>2636.09</x:v>
      </x:c>
      <x:c r="C1833" s="18" t="n">
        <x:v>2664.33</x:v>
      </x:c>
      <x:c r="D1833" s="18" t="n">
        <x:v>2632.98</x:v>
      </x:c>
      <x:c r="E1833" s="18" t="n">
        <x:v>2648.42</x:v>
      </x:c>
      <x:c r="F1833" s="19" t="n">
        <x:v>70702</x:v>
      </x:c>
    </x:row>
    <x:row r="1834">
      <x:c r="A1834" s="17" t="n">
        <x:v>45665</x:v>
      </x:c>
      <x:c r="B1834" s="18" t="n">
        <x:v>2648.45</x:v>
      </x:c>
      <x:c r="C1834" s="18" t="n">
        <x:v>2670</x:v>
      </x:c>
      <x:c r="D1834" s="18" t="n">
        <x:v>2645.25</x:v>
      </x:c>
      <x:c r="E1834" s="18" t="n">
        <x:v>2661.44</x:v>
      </x:c>
      <x:c r="F1834" s="19" t="n">
        <x:v>80604</x:v>
      </x:c>
    </x:row>
    <x:row r="1835">
      <x:c r="A1835" s="17" t="n">
        <x:v>45666</x:v>
      </x:c>
      <x:c r="B1835" s="18" t="n">
        <x:v>2661.31</x:v>
      </x:c>
      <x:c r="C1835" s="18" t="n">
        <x:v>2678.23</x:v>
      </x:c>
      <x:c r="D1835" s="18" t="n">
        <x:v>2655.51</x:v>
      </x:c>
      <x:c r="E1835" s="18" t="n">
        <x:v>2670.34</x:v>
      </x:c>
      <x:c r="F1835" s="19" t="n">
        <x:v>67495</x:v>
      </x:c>
    </x:row>
    <x:row r="1836">
      <x:c r="A1836" s="17" t="n">
        <x:v>45667</x:v>
      </x:c>
      <x:c r="B1836" s="18" t="n">
        <x:v>2670.34</x:v>
      </x:c>
      <x:c r="C1836" s="18" t="n">
        <x:v>2698.01</x:v>
      </x:c>
      <x:c r="D1836" s="18" t="n">
        <x:v>2663.96</x:v>
      </x:c>
      <x:c r="E1836" s="18" t="n">
        <x:v>2688.96</x:v>
      </x:c>
      <x:c r="F1836" s="19" t="n">
        <x:v>89266</x:v>
      </x:c>
    </x:row>
    <x:row r="1837">
      <x:c r="A1837" s="17" t="n">
        <x:v>45670</x:v>
      </x:c>
      <x:c r="B1837" s="18" t="n">
        <x:v>2690.19</x:v>
      </x:c>
      <x:c r="C1837" s="18" t="n">
        <x:v>2693.27</x:v>
      </x:c>
      <x:c r="D1837" s="18" t="n">
        <x:v>2656.84</x:v>
      </x:c>
      <x:c r="E1837" s="18" t="n">
        <x:v>2662.98</x:v>
      </x:c>
      <x:c r="F1837" s="19" t="n">
        <x:v>93434</x:v>
      </x:c>
    </x:row>
    <x:row r="1838">
      <x:c r="A1838" s="17" t="n">
        <x:v>45671</x:v>
      </x:c>
      <x:c r="B1838" s="18" t="n">
        <x:v>2663.55</x:v>
      </x:c>
      <x:c r="C1838" s="18" t="n">
        <x:v>2678.38</x:v>
      </x:c>
      <x:c r="D1838" s="18" t="n">
        <x:v>2659.86</x:v>
      </x:c>
      <x:c r="E1838" s="18" t="n">
        <x:v>2677.37</x:v>
      </x:c>
      <x:c r="F1838" s="19" t="n">
        <x:v>88452</x:v>
      </x:c>
    </x:row>
    <x:row r="1839">
      <x:c r="A1839" s="17" t="n">
        <x:v>45672</x:v>
      </x:c>
      <x:c r="B1839" s="18" t="n">
        <x:v>2678.38</x:v>
      </x:c>
      <x:c r="C1839" s="18" t="n">
        <x:v>2697.55</x:v>
      </x:c>
      <x:c r="D1839" s="18" t="n">
        <x:v>2669.39</x:v>
      </x:c>
      <x:c r="E1839" s="18" t="n">
        <x:v>2696.28</x:v>
      </x:c>
      <x:c r="F1839" s="19" t="n">
        <x:v>81616</x:v>
      </x:c>
    </x:row>
    <x:row r="1840">
      <x:c r="A1840" s="17" t="n">
        <x:v>45673</x:v>
      </x:c>
      <x:c r="B1840" s="18" t="n">
        <x:v>2695.01</x:v>
      </x:c>
      <x:c r="C1840" s="18" t="n">
        <x:v>2724.76</x:v>
      </x:c>
      <x:c r="D1840" s="18" t="n">
        <x:v>2690.03</x:v>
      </x:c>
      <x:c r="E1840" s="18" t="n">
        <x:v>2714.26</x:v>
      </x:c>
      <x:c r="F1840" s="19" t="n">
        <x:v>86394</x:v>
      </x:c>
    </x:row>
    <x:row r="1841">
      <x:c r="A1841" s="17" t="n">
        <x:v>45674</x:v>
      </x:c>
      <x:c r="B1841" s="18" t="n">
        <x:v>2714.44</x:v>
      </x:c>
      <x:c r="C1841" s="18" t="n">
        <x:v>2717.38</x:v>
      </x:c>
      <x:c r="D1841" s="18" t="n">
        <x:v>2698.47</x:v>
      </x:c>
      <x:c r="E1841" s="18" t="n">
        <x:v>2702.92</x:v>
      </x:c>
      <x:c r="F1841" s="19" t="n">
        <x:v>80490</x:v>
      </x:c>
    </x:row>
    <x:row r="1842">
      <x:c r="A1842" s="17" t="n">
        <x:v>45677</x:v>
      </x:c>
      <x:c r="B1842" s="18" t="n">
        <x:v>2703.09</x:v>
      </x:c>
      <x:c r="C1842" s="18" t="n">
        <x:v>2713.76</x:v>
      </x:c>
      <x:c r="D1842" s="18" t="n">
        <x:v>2689.26</x:v>
      </x:c>
      <x:c r="E1842" s="18" t="n">
        <x:v>2706.7</x:v>
      </x:c>
      <x:c r="F1842" s="19" t="n">
        <x:v>69969</x:v>
      </x:c>
    </x:row>
    <x:row r="1843">
      <x:c r="A1843" s="17" t="n">
        <x:v>45678</x:v>
      </x:c>
      <x:c r="B1843" s="18" t="n">
        <x:v>2708.28</x:v>
      </x:c>
      <x:c r="C1843" s="18" t="n">
        <x:v>2746.02</x:v>
      </x:c>
      <x:c r="D1843" s="18" t="n">
        <x:v>2702.81</x:v>
      </x:c>
      <x:c r="E1843" s="18" t="n">
        <x:v>2744.69</x:v>
      </x:c>
      <x:c r="F1843" s="19" t="n">
        <x:v>92790</x:v>
      </x:c>
    </x:row>
    <x:row r="1844">
      <x:c r="A1844" s="17" t="n">
        <x:v>45679</x:v>
      </x:c>
      <x:c r="B1844" s="18" t="n">
        <x:v>2745.17</x:v>
      </x:c>
      <x:c r="C1844" s="18" t="n">
        <x:v>2763.45</x:v>
      </x:c>
      <x:c r="D1844" s="18" t="n">
        <x:v>2741.1</x:v>
      </x:c>
      <x:c r="E1844" s="18" t="n">
        <x:v>2756.18</x:v>
      </x:c>
      <x:c r="F1844" s="19" t="n">
        <x:v>84738</x:v>
      </x:c>
    </x:row>
    <x:row r="1845">
      <x:c r="A1845" s="17" t="n">
        <x:v>45680</x:v>
      </x:c>
      <x:c r="B1845" s="18" t="n">
        <x:v>2756.17</x:v>
      </x:c>
      <x:c r="C1845" s="18" t="n">
        <x:v>2758.92</x:v>
      </x:c>
      <x:c r="D1845" s="18" t="n">
        <x:v>2735.58</x:v>
      </x:c>
      <x:c r="E1845" s="18" t="n">
        <x:v>2754.52</x:v>
      </x:c>
      <x:c r="F1845" s="19" t="n">
        <x:v>85621</x:v>
      </x:c>
    </x:row>
    <x:row r="1846">
      <x:c r="A1846" s="17" t="n">
        <x:v>45681</x:v>
      </x:c>
      <x:c r="B1846" s="18" t="n">
        <x:v>2754.64</x:v>
      </x:c>
      <x:c r="C1846" s="18" t="n">
        <x:v>2785.94</x:v>
      </x:c>
      <x:c r="D1846" s="18" t="n">
        <x:v>2753.49</x:v>
      </x:c>
      <x:c r="E1846" s="18" t="n">
        <x:v>2771.48</x:v>
      </x:c>
      <x:c r="F1846" s="19" t="n">
        <x:v>87370</x:v>
      </x:c>
    </x:row>
    <x:row r="1847">
      <x:c r="A1847" s="17" t="n">
        <x:v>45684</x:v>
      </x:c>
      <x:c r="B1847" s="18" t="n">
        <x:v>2769.76</x:v>
      </x:c>
      <x:c r="C1847" s="18" t="n">
        <x:v>2772.53</x:v>
      </x:c>
      <x:c r="D1847" s="18" t="n">
        <x:v>2730.48</x:v>
      </x:c>
      <x:c r="E1847" s="18" t="n">
        <x:v>2740.7</x:v>
      </x:c>
      <x:c r="F1847" s="19" t="n">
        <x:v>99704</x:v>
      </x:c>
    </x:row>
    <x:row r="1848">
      <x:c r="A1848" s="17" t="n">
        <x:v>45685</x:v>
      </x:c>
      <x:c r="B1848" s="18" t="n">
        <x:v>2739.91</x:v>
      </x:c>
      <x:c r="C1848" s="18" t="n">
        <x:v>2765.11</x:v>
      </x:c>
      <x:c r="D1848" s="18" t="n">
        <x:v>2734.81</x:v>
      </x:c>
      <x:c r="E1848" s="18" t="n">
        <x:v>2763.17</x:v>
      </x:c>
      <x:c r="F1848" s="19" t="n">
        <x:v>83114</x:v>
      </x:c>
    </x:row>
    <x:row r="1849">
      <x:c r="A1849" s="17" t="n">
        <x:v>45686</x:v>
      </x:c>
      <x:c r="B1849" s="18" t="n">
        <x:v>2763.23</x:v>
      </x:c>
      <x:c r="C1849" s="18" t="n">
        <x:v>2766.2</x:v>
      </x:c>
      <x:c r="D1849" s="18" t="n">
        <x:v>2744.76</x:v>
      </x:c>
      <x:c r="E1849" s="18" t="n">
        <x:v>2759.68</x:v>
      </x:c>
      <x:c r="F1849" s="19" t="n">
        <x:v>83303</x:v>
      </x:c>
    </x:row>
    <x:row r="1850">
      <x:c r="A1850" s="17" t="n">
        <x:v>45687</x:v>
      </x:c>
      <x:c r="B1850" s="18" t="n">
        <x:v>2759.61</x:v>
      </x:c>
      <x:c r="C1850" s="18" t="n">
        <x:v>2798.49</x:v>
      </x:c>
      <x:c r="D1850" s="18" t="n">
        <x:v>2758.23</x:v>
      </x:c>
      <x:c r="E1850" s="18" t="n">
        <x:v>2794.06</x:v>
      </x:c>
      <x:c r="F1850" s="19" t="n">
        <x:v>83835</x:v>
      </x:c>
    </x:row>
    <x:row r="1851">
      <x:c r="A1851" s="17" t="n">
        <x:v>45688</x:v>
      </x:c>
      <x:c r="B1851" s="18" t="n">
        <x:v>2795.08</x:v>
      </x:c>
      <x:c r="C1851" s="18" t="n">
        <x:v>2817.23</x:v>
      </x:c>
      <x:c r="D1851" s="18" t="n">
        <x:v>2791.02</x:v>
      </x:c>
      <x:c r="E1851" s="18" t="n">
        <x:v>2798.47</x:v>
      </x:c>
      <x:c r="F1851" s="19" t="n">
        <x:v>91210</x:v>
      </x:c>
    </x:row>
    <x:row r="1852">
      <x:c r="A1852" s="17" t="n">
        <x:v>45691</x:v>
      </x:c>
      <x:c r="B1852" s="18" t="n">
        <x:v>2804.21</x:v>
      </x:c>
      <x:c r="C1852" s="18" t="n">
        <x:v>2830.4</x:v>
      </x:c>
      <x:c r="D1852" s="18" t="n">
        <x:v>2772.17</x:v>
      </x:c>
      <x:c r="E1852" s="18" t="n">
        <x:v>2814.75</x:v>
      </x:c>
      <x:c r="F1852" s="19" t="n">
        <x:v>107358</x:v>
      </x:c>
    </x:row>
    <x:row r="1853">
      <x:c r="A1853" s="17" t="n">
        <x:v>45692</x:v>
      </x:c>
      <x:c r="B1853" s="18" t="n">
        <x:v>2814.62</x:v>
      </x:c>
      <x:c r="C1853" s="18" t="n">
        <x:v>2845.49</x:v>
      </x:c>
      <x:c r="D1853" s="18" t="n">
        <x:v>2807.19</x:v>
      </x:c>
      <x:c r="E1853" s="18" t="n">
        <x:v>2842.01</x:v>
      </x:c>
      <x:c r="F1853" s="19" t="n">
        <x:v>96838</x:v>
      </x:c>
    </x:row>
    <x:row r="1854">
      <x:c r="A1854" s="17" t="n">
        <x:v>45693</x:v>
      </x:c>
      <x:c r="B1854" s="18" t="n">
        <x:v>2842.67</x:v>
      </x:c>
      <x:c r="C1854" s="18" t="n">
        <x:v>2882.49</x:v>
      </x:c>
      <x:c r="D1854" s="18" t="n">
        <x:v>2839.67</x:v>
      </x:c>
      <x:c r="E1854" s="18" t="n">
        <x:v>2867.02</x:v>
      </x:c>
      <x:c r="F1854" s="19" t="n">
        <x:v>90945</x:v>
      </x:c>
    </x:row>
    <x:row r="1855">
      <x:c r="A1855" s="17" t="n">
        <x:v>45694</x:v>
      </x:c>
      <x:c r="B1855" s="18" t="n">
        <x:v>2864.94</x:v>
      </x:c>
      <x:c r="C1855" s="18" t="n">
        <x:v>2873.28</x:v>
      </x:c>
      <x:c r="D1855" s="18" t="n">
        <x:v>2834.1</x:v>
      </x:c>
      <x:c r="E1855" s="18" t="n">
        <x:v>2855.55</x:v>
      </x:c>
      <x:c r="F1855" s="19" t="n">
        <x:v>91182</x:v>
      </x:c>
    </x:row>
    <x:row r="1856">
      <x:c r="A1856" s="17" t="n">
        <x:v>45695</x:v>
      </x:c>
      <x:c r="B1856" s="18" t="n">
        <x:v>2855.66</x:v>
      </x:c>
      <x:c r="C1856" s="18" t="n">
        <x:v>2886.68</x:v>
      </x:c>
      <x:c r="D1856" s="18" t="n">
        <x:v>2852.39</x:v>
      </x:c>
      <x:c r="E1856" s="18" t="n">
        <x:v>2861.3</x:v>
      </x:c>
      <x:c r="F1856" s="19" t="n">
        <x:v>85320</x:v>
      </x:c>
    </x:row>
    <x:row r="1857">
      <x:c r="A1857" s="17" t="n">
        <x:v>45698</x:v>
      </x:c>
      <x:c r="B1857" s="18" t="n">
        <x:v>2858.16</x:v>
      </x:c>
      <x:c r="C1857" s="18" t="n">
        <x:v>2911.66</x:v>
      </x:c>
      <x:c r="D1857" s="18" t="n">
        <x:v>2856.01</x:v>
      </x:c>
      <x:c r="E1857" s="18" t="n">
        <x:v>2907.48</x:v>
      </x:c>
      <x:c r="F1857" s="19" t="n">
        <x:v>867805</x:v>
      </x:c>
    </x:row>
    <x:row r="1858">
      <x:c r="A1858" s="17" t="n">
        <x:v>45699</x:v>
      </x:c>
      <x:c r="B1858" s="18" t="n">
        <x:v>2907.66</x:v>
      </x:c>
      <x:c r="C1858" s="18" t="n">
        <x:v>2942.56</x:v>
      </x:c>
      <x:c r="D1858" s="18" t="n">
        <x:v>2881.7</x:v>
      </x:c>
      <x:c r="E1858" s="18" t="n">
        <x:v>2896.92</x:v>
      </x:c>
      <x:c r="F1858" s="19" t="n">
        <x:v>1116282</x:v>
      </x:c>
    </x:row>
    <x:row r="1859">
      <x:c r="A1859" s="17" t="n">
        <x:v>45700</x:v>
      </x:c>
      <x:c r="B1859" s="18" t="n">
        <x:v>2896.55</x:v>
      </x:c>
      <x:c r="C1859" s="18" t="n">
        <x:v>2909.12</x:v>
      </x:c>
      <x:c r="D1859" s="18" t="n">
        <x:v>2863.63</x:v>
      </x:c>
      <x:c r="E1859" s="18" t="n">
        <x:v>2903.35</x:v>
      </x:c>
      <x:c r="F1859" s="19" t="n">
        <x:v>866279</x:v>
      </x:c>
    </x:row>
    <x:row r="1860">
      <x:c r="A1860" s="17" t="n">
        <x:v>45701</x:v>
      </x:c>
      <x:c r="B1860" s="18" t="n">
        <x:v>2903.6</x:v>
      </x:c>
      <x:c r="C1860" s="18" t="n">
        <x:v>2929.33</x:v>
      </x:c>
      <x:c r="D1860" s="18" t="n">
        <x:v>2900.31</x:v>
      </x:c>
      <x:c r="E1860" s="18" t="n">
        <x:v>2927.57</x:v>
      </x:c>
      <x:c r="F1860" s="19" t="n">
        <x:v>746422</x:v>
      </x:c>
    </x:row>
    <x:row r="1861">
      <x:c r="A1861" s="17" t="n">
        <x:v>45702</x:v>
      </x:c>
      <x:c r="B1861" s="18" t="n">
        <x:v>2926.68</x:v>
      </x:c>
      <x:c r="C1861" s="18" t="n">
        <x:v>2939.94</x:v>
      </x:c>
      <x:c r="D1861" s="18" t="n">
        <x:v>2876.97</x:v>
      </x:c>
      <x:c r="E1861" s="18" t="n">
        <x:v>2882.21</x:v>
      </x:c>
      <x:c r="F1861" s="19" t="n">
        <x:v>949082</x:v>
      </x:c>
    </x:row>
    <x:row r="1862">
      <x:c r="A1862" s="17" t="n">
        <x:v>45705</x:v>
      </x:c>
      <x:c r="B1862" s="18" t="n">
        <x:v>2883.87</x:v>
      </x:c>
      <x:c r="C1862" s="18" t="n">
        <x:v>2906.33</x:v>
      </x:c>
      <x:c r="D1862" s="18" t="n">
        <x:v>2878.06</x:v>
      </x:c>
      <x:c r="E1862" s="18" t="n">
        <x:v>2898.74</x:v>
      </x:c>
      <x:c r="F1862" s="19" t="n">
        <x:v>524246</x:v>
      </x:c>
    </x:row>
    <x:row r="1863">
      <x:c r="A1863" s="17" t="n">
        <x:v>45706</x:v>
      </x:c>
      <x:c r="B1863" s="18" t="n">
        <x:v>2898.01</x:v>
      </x:c>
      <x:c r="C1863" s="18" t="n">
        <x:v>2936.89</x:v>
      </x:c>
      <x:c r="D1863" s="18" t="n">
        <x:v>2891.91</x:v>
      </x:c>
      <x:c r="E1863" s="18" t="n">
        <x:v>2934.42</x:v>
      </x:c>
      <x:c r="F1863" s="19" t="n">
        <x:v>537976</x:v>
      </x:c>
    </x:row>
    <x:row r="1864">
      <x:c r="A1864" s="17" t="n">
        <x:v>45707</x:v>
      </x:c>
      <x:c r="B1864" s="18" t="n">
        <x:v>2933.94</x:v>
      </x:c>
      <x:c r="C1864" s="18" t="n">
        <x:v>2946.95</x:v>
      </x:c>
      <x:c r="D1864" s="18" t="n">
        <x:v>2918.54</x:v>
      </x:c>
      <x:c r="E1864" s="18" t="n">
        <x:v>2932.57</x:v>
      </x:c>
      <x:c r="F1864" s="19" t="n">
        <x:v>638568</x:v>
      </x:c>
    </x:row>
    <x:row r="1865">
      <x:c r="A1865" s="17" t="n">
        <x:v>45708</x:v>
      </x:c>
      <x:c r="B1865" s="18" t="n">
        <x:v>2932.58</x:v>
      </x:c>
      <x:c r="C1865" s="18" t="n">
        <x:v>2954.81</x:v>
      </x:c>
      <x:c r="D1865" s="18" t="n">
        <x:v>2924.08</x:v>
      </x:c>
      <x:c r="E1865" s="18" t="n">
        <x:v>2938.87</x:v>
      </x:c>
      <x:c r="F1865" s="19" t="n">
        <x:v>641037</x:v>
      </x:c>
    </x:row>
    <x:row r="1866">
      <x:c r="A1866" s="17" t="n">
        <x:v>45709</x:v>
      </x:c>
      <x:c r="B1866" s="18" t="n">
        <x:v>2938.45</x:v>
      </x:c>
      <x:c r="C1866" s="18" t="n">
        <x:v>2949.62</x:v>
      </x:c>
      <x:c r="D1866" s="18" t="n">
        <x:v>2916.68</x:v>
      </x:c>
      <x:c r="E1866" s="18" t="n">
        <x:v>2935.28</x:v>
      </x:c>
      <x:c r="F1866" s="19" t="n">
        <x:v>652808</x:v>
      </x:c>
    </x:row>
    <x:row r="1867">
      <x:c r="A1867" s="17" t="n">
        <x:v>45712</x:v>
      </x:c>
      <x:c r="B1867" s="18" t="n">
        <x:v>2934.98</x:v>
      </x:c>
      <x:c r="C1867" s="18" t="n">
        <x:v>2956.08</x:v>
      </x:c>
      <x:c r="D1867" s="18" t="n">
        <x:v>2921.28</x:v>
      </x:c>
      <x:c r="E1867" s="18" t="n">
        <x:v>2952.63</x:v>
      </x:c>
      <x:c r="F1867" s="19" t="n">
        <x:v>679304</x:v>
      </x:c>
    </x:row>
    <x:row r="1868">
      <x:c r="A1868" s="17" t="n">
        <x:v>45713</x:v>
      </x:c>
      <x:c r="B1868" s="18" t="n">
        <x:v>2952.1</x:v>
      </x:c>
      <x:c r="C1868" s="18" t="n">
        <x:v>2953.38</x:v>
      </x:c>
      <x:c r="D1868" s="18" t="n">
        <x:v>2888.21</x:v>
      </x:c>
      <x:c r="E1868" s="18" t="n">
        <x:v>2914.47</x:v>
      </x:c>
      <x:c r="F1868" s="19" t="n">
        <x:v>788072</x:v>
      </x:c>
    </x:row>
    <x:row r="1869">
      <x:c r="A1869" s="17" t="n">
        <x:v>45714</x:v>
      </x:c>
      <x:c r="B1869" s="18" t="n">
        <x:v>2913.8</x:v>
      </x:c>
      <x:c r="C1869" s="18" t="n">
        <x:v>2930.1</x:v>
      </x:c>
      <x:c r="D1869" s="18" t="n">
        <x:v>2890.68</x:v>
      </x:c>
      <x:c r="E1869" s="18" t="n">
        <x:v>2915.63</x:v>
      </x:c>
      <x:c r="F1869" s="19" t="n">
        <x:v>607481</x:v>
      </x:c>
    </x:row>
    <x:row r="1870">
      <x:c r="A1870" s="17" t="n">
        <x:v>45715</x:v>
      </x:c>
      <x:c r="B1870" s="18" t="n">
        <x:v>2916.26</x:v>
      </x:c>
      <x:c r="C1870" s="18" t="n">
        <x:v>2920.71</x:v>
      </x:c>
      <x:c r="D1870" s="18" t="n">
        <x:v>2867.66</x:v>
      </x:c>
      <x:c r="E1870" s="18" t="n">
        <x:v>2876.85</x:v>
      </x:c>
      <x:c r="F1870" s="19" t="n">
        <x:v>820896</x:v>
      </x:c>
    </x:row>
    <x:row r="1871">
      <x:c r="A1871" s="17" t="n">
        <x:v>45716</x:v>
      </x:c>
      <x:c r="B1871" s="18" t="n">
        <x:v>2876.14</x:v>
      </x:c>
      <x:c r="C1871" s="18" t="n">
        <x:v>2885.03</x:v>
      </x:c>
      <x:c r="D1871" s="18" t="n">
        <x:v>2832.59</x:v>
      </x:c>
      <x:c r="E1871" s="18" t="n">
        <x:v>2857.19</x:v>
      </x:c>
      <x:c r="F1871" s="19" t="n">
        <x:v>856858</x:v>
      </x:c>
    </x:row>
    <x:row r="1872">
      <x:c r="A1872" s="17" t="n">
        <x:v>45719</x:v>
      </x:c>
      <x:c r="B1872" s="18" t="n">
        <x:v>2856.73</x:v>
      </x:c>
      <x:c r="C1872" s="18" t="n">
        <x:v>2895.17</x:v>
      </x:c>
      <x:c r="D1872" s="18" t="n">
        <x:v>2855.28</x:v>
      </x:c>
      <x:c r="E1872" s="18" t="n">
        <x:v>2892.04</x:v>
      </x:c>
      <x:c r="F1872" s="19" t="n">
        <x:v>716240</x:v>
      </x:c>
    </x:row>
    <x:row r="1873">
      <x:c r="A1873" s="17" t="n">
        <x:v>45720</x:v>
      </x:c>
      <x:c r="B1873" s="18" t="n">
        <x:v>2891.94</x:v>
      </x:c>
      <x:c r="C1873" s="18" t="n">
        <x:v>2927.72</x:v>
      </x:c>
      <x:c r="D1873" s="18" t="n">
        <x:v>2881.88</x:v>
      </x:c>
      <x:c r="E1873" s="18" t="n">
        <x:v>2917.46</x:v>
      </x:c>
      <x:c r="F1873" s="19" t="n">
        <x:v>728108</x:v>
      </x:c>
    </x:row>
    <x:row r="1874">
      <x:c r="A1874" s="17" t="n">
        <x:v>45721</x:v>
      </x:c>
      <x:c r="B1874" s="18" t="n">
        <x:v>2917.46</x:v>
      </x:c>
      <x:c r="C1874" s="18" t="n">
        <x:v>2929.9</x:v>
      </x:c>
      <x:c r="D1874" s="18" t="n">
        <x:v>2894.22</x:v>
      </x:c>
      <x:c r="E1874" s="18" t="n">
        <x:v>2918.42</x:v>
      </x:c>
      <x:c r="F1874" s="19" t="n">
        <x:v>873196</x:v>
      </x:c>
    </x:row>
    <x:row r="1875">
      <x:c r="A1875" s="17" t="n">
        <x:v>45722</x:v>
      </x:c>
      <x:c r="B1875" s="18" t="n">
        <x:v>2919.07</x:v>
      </x:c>
      <x:c r="C1875" s="18" t="n">
        <x:v>2926.48</x:v>
      </x:c>
      <x:c r="D1875" s="18" t="n">
        <x:v>2891.24</x:v>
      </x:c>
      <x:c r="E1875" s="18" t="n">
        <x:v>2910.9</x:v>
      </x:c>
      <x:c r="F1875" s="19" t="n">
        <x:v>754667</x:v>
      </x:c>
    </x:row>
    <x:row r="1876">
      <x:c r="A1876" s="17" t="n">
        <x:v>45723</x:v>
      </x:c>
      <x:c r="B1876" s="18" t="n">
        <x:v>2911.33</x:v>
      </x:c>
      <x:c r="C1876" s="18" t="n">
        <x:v>2930.28</x:v>
      </x:c>
      <x:c r="D1876" s="18" t="n">
        <x:v>2896.09</x:v>
      </x:c>
      <x:c r="E1876" s="18" t="n">
        <x:v>2909.15</x:v>
      </x:c>
      <x:c r="F1876" s="19" t="n">
        <x:v>854316</x:v>
      </x:c>
    </x:row>
    <x:row r="1877">
      <x:c r="A1877" s="17" t="n">
        <x:v>45726</x:v>
      </x:c>
      <x:c r="B1877" s="18" t="n">
        <x:v>2911.49</x:v>
      </x:c>
      <x:c r="C1877" s="18" t="n">
        <x:v>2918.19</x:v>
      </x:c>
      <x:c r="D1877" s="18" t="n">
        <x:v>2880.2</x:v>
      </x:c>
      <x:c r="E1877" s="18" t="n">
        <x:v>2888.32</x:v>
      </x:c>
      <x:c r="F1877" s="19" t="n">
        <x:v>807980</x:v>
      </x:c>
    </x:row>
    <x:row r="1878">
      <x:c r="A1878" s="17" t="n">
        <x:v>45727</x:v>
      </x:c>
      <x:c r="B1878" s="18" t="n">
        <x:v>2888.52</x:v>
      </x:c>
      <x:c r="C1878" s="18" t="n">
        <x:v>2922.2</x:v>
      </x:c>
      <x:c r="D1878" s="18" t="n">
        <x:v>2880.24</x:v>
      </x:c>
      <x:c r="E1878" s="18" t="n">
        <x:v>2915.05</x:v>
      </x:c>
      <x:c r="F1878" s="19" t="n">
        <x:v>579283</x:v>
      </x:c>
    </x:row>
    <x:row r="1879">
      <x:c r="A1879" s="17" t="n">
        <x:v>45728</x:v>
      </x:c>
      <x:c r="B1879" s="18" t="n">
        <x:v>2914.34</x:v>
      </x:c>
      <x:c r="C1879" s="18" t="n">
        <x:v>2940.46</x:v>
      </x:c>
      <x:c r="D1879" s="18" t="n">
        <x:v>2905.92</x:v>
      </x:c>
      <x:c r="E1879" s="18" t="n">
        <x:v>2933.24</x:v>
      </x:c>
      <x:c r="F1879" s="19" t="n">
        <x:v>643681</x:v>
      </x:c>
    </x:row>
    <x:row r="1880">
      <x:c r="A1880" s="17" t="n">
        <x:v>45729</x:v>
      </x:c>
      <x:c r="B1880" s="18" t="n">
        <x:v>2933.3</x:v>
      </x:c>
      <x:c r="C1880" s="18" t="n">
        <x:v>2989.46</x:v>
      </x:c>
      <x:c r="D1880" s="18" t="n">
        <x:v>2932.9</x:v>
      </x:c>
      <x:c r="E1880" s="18" t="n">
        <x:v>2988.21</x:v>
      </x:c>
      <x:c r="F1880" s="19" t="n">
        <x:v>674205</x:v>
      </x:c>
    </x:row>
    <x:row r="1881">
      <x:c r="A1881" s="17" t="n">
        <x:v>45730</x:v>
      </x:c>
      <x:c r="B1881" s="18" t="n">
        <x:v>2989.41</x:v>
      </x:c>
      <x:c r="C1881" s="18" t="n">
        <x:v>3004.8</x:v>
      </x:c>
      <x:c r="D1881" s="18" t="n">
        <x:v>2978.37</x:v>
      </x:c>
      <x:c r="E1881" s="18" t="n">
        <x:v>2984.13</x:v>
      </x:c>
      <x:c r="F1881" s="19" t="n">
        <x:v>682523</x:v>
      </x:c>
    </x:row>
    <x:row r="1882">
      <x:c r="A1882" s="17" t="n">
        <x:v>45733</x:v>
      </x:c>
      <x:c r="B1882" s="18" t="n">
        <x:v>2984.45</x:v>
      </x:c>
      <x:c r="C1882" s="18" t="n">
        <x:v>3001.82</x:v>
      </x:c>
      <x:c r="D1882" s="18" t="n">
        <x:v>2982.14</x:v>
      </x:c>
      <x:c r="E1882" s="18" t="n">
        <x:v>3000.43</x:v>
      </x:c>
      <x:c r="F1882" s="19" t="n">
        <x:v>511901</x:v>
      </x:c>
    </x:row>
    <x:row r="1883">
      <x:c r="A1883" s="17" t="n">
        <x:v>45734</x:v>
      </x:c>
      <x:c r="B1883" s="18" t="n">
        <x:v>3000.4</x:v>
      </x:c>
      <x:c r="C1883" s="18" t="n">
        <x:v>3038.21</x:v>
      </x:c>
      <x:c r="D1883" s="18" t="n">
        <x:v>2999.38</x:v>
      </x:c>
      <x:c r="E1883" s="18" t="n">
        <x:v>3034.23</x:v>
      </x:c>
      <x:c r="F1883" s="19" t="n">
        <x:v>605463</x:v>
      </x:c>
    </x:row>
    <x:row r="1884">
      <x:c r="A1884" s="17" t="n">
        <x:v>45735</x:v>
      </x:c>
      <x:c r="B1884" s="18" t="n">
        <x:v>3033.56</x:v>
      </x:c>
      <x:c r="C1884" s="18" t="n">
        <x:v>3051.88</x:v>
      </x:c>
      <x:c r="D1884" s="18" t="n">
        <x:v>3022.71</x:v>
      </x:c>
      <x:c r="E1884" s="18" t="n">
        <x:v>3046.81</x:v>
      </x:c>
      <x:c r="F1884" s="19" t="n">
        <x:v>599300</x:v>
      </x:c>
    </x:row>
    <x:row r="1885">
      <x:c r="A1885" s="17" t="n">
        <x:v>45736</x:v>
      </x:c>
      <x:c r="B1885" s="18" t="n">
        <x:v>3047.47</x:v>
      </x:c>
      <x:c r="C1885" s="18" t="n">
        <x:v>3057.35</x:v>
      </x:c>
      <x:c r="D1885" s="18" t="n">
        <x:v>3025.64</x:v>
      </x:c>
      <x:c r="E1885" s="18" t="n">
        <x:v>3044.22</x:v>
      </x:c>
      <x:c r="F1885" s="19" t="n">
        <x:v>701550</x:v>
      </x:c>
    </x:row>
    <x:row r="1886">
      <x:c r="A1886" s="17" t="n">
        <x:v>45737</x:v>
      </x:c>
      <x:c r="B1886" s="18" t="n">
        <x:v>3044.27</x:v>
      </x:c>
      <x:c r="C1886" s="18" t="n">
        <x:v>3047.36</x:v>
      </x:c>
      <x:c r="D1886" s="18" t="n">
        <x:v>2999.39</x:v>
      </x:c>
      <x:c r="E1886" s="18" t="n">
        <x:v>3023.43</x:v>
      </x:c>
      <x:c r="F1886" s="19" t="n">
        <x:v>654343</x:v>
      </x:c>
    </x:row>
    <x:row r="1887">
      <x:c r="A1887" s="17" t="n">
        <x:v>45740</x:v>
      </x:c>
      <x:c r="B1887" s="18" t="n">
        <x:v>3020.94</x:v>
      </x:c>
      <x:c r="C1887" s="18" t="n">
        <x:v>3033.19</x:v>
      </x:c>
      <x:c r="D1887" s="18" t="n">
        <x:v>3002.4</x:v>
      </x:c>
      <x:c r="E1887" s="18" t="n">
        <x:v>3011.52</x:v>
      </x:c>
      <x:c r="F1887" s="19" t="n">
        <x:v>666465</x:v>
      </x:c>
    </x:row>
    <x:row r="1888">
      <x:c r="A1888" s="17" t="n">
        <x:v>45741</x:v>
      </x:c>
      <x:c r="B1888" s="18" t="n">
        <x:v>3010.95</x:v>
      </x:c>
      <x:c r="C1888" s="18" t="n">
        <x:v>3035.92</x:v>
      </x:c>
      <x:c r="D1888" s="18" t="n">
        <x:v>3007.54</x:v>
      </x:c>
      <x:c r="E1888" s="18" t="n">
        <x:v>3019.2</x:v>
      </x:c>
      <x:c r="F1888" s="19" t="n">
        <x:v>524555</x:v>
      </x:c>
    </x:row>
    <x:row r="1889">
      <x:c r="A1889" s="17" t="n">
        <x:v>45742</x:v>
      </x:c>
      <x:c r="B1889" s="18" t="n">
        <x:v>3019.11</x:v>
      </x:c>
      <x:c r="C1889" s="18" t="n">
        <x:v>3031.99</x:v>
      </x:c>
      <x:c r="D1889" s="18" t="n">
        <x:v>3012.32</x:v>
      </x:c>
      <x:c r="E1889" s="18" t="n">
        <x:v>3019</x:v>
      </x:c>
      <x:c r="F1889" s="19" t="n">
        <x:v>572220</x:v>
      </x:c>
    </x:row>
    <x:row r="1890">
      <x:c r="A1890" s="17" t="n">
        <x:v>45743</x:v>
      </x:c>
      <x:c r="B1890" s="18" t="n">
        <x:v>3018.44</x:v>
      </x:c>
      <x:c r="C1890" s="18" t="n">
        <x:v>3059.82</x:v>
      </x:c>
      <x:c r="D1890" s="18" t="n">
        <x:v>3017.55</x:v>
      </x:c>
      <x:c r="E1890" s="18" t="n">
        <x:v>3055.91</x:v>
      </x:c>
      <x:c r="F1890" s="19" t="n">
        <x:v>793244</x:v>
      </x:c>
    </x:row>
    <x:row r="1891">
      <x:c r="A1891" s="17" t="n">
        <x:v>45744</x:v>
      </x:c>
      <x:c r="B1891" s="18" t="n">
        <x:v>3056.12</x:v>
      </x:c>
      <x:c r="C1891" s="18" t="n">
        <x:v>3086.74</x:v>
      </x:c>
      <x:c r="D1891" s="18" t="n">
        <x:v>3054.06</x:v>
      </x:c>
      <x:c r="E1891" s="18" t="n">
        <x:v>3084.63</x:v>
      </x:c>
      <x:c r="F1891" s="19" t="n">
        <x:v>751428</x:v>
      </x:c>
    </x:row>
    <x:row r="1892">
      <x:c r="A1892" s="17" t="n">
        <x:v>45747</x:v>
      </x:c>
      <x:c r="B1892" s="18" t="n">
        <x:v>3086.47</x:v>
      </x:c>
      <x:c r="C1892" s="18" t="n">
        <x:v>3128.05</x:v>
      </x:c>
      <x:c r="D1892" s="18" t="n">
        <x:v>3076.71</x:v>
      </x:c>
      <x:c r="E1892" s="18" t="n">
        <x:v>3122.89</x:v>
      </x:c>
      <x:c r="F1892" s="19" t="n">
        <x:v>861291</x:v>
      </x:c>
    </x:row>
    <x:row r="1893">
      <x:c r="A1893" s="17" t="n">
        <x:v>45748</x:v>
      </x:c>
      <x:c r="B1893" s="18" t="n">
        <x:v>3122.81</x:v>
      </x:c>
      <x:c r="C1893" s="18" t="n">
        <x:v>3148.92</x:v>
      </x:c>
      <x:c r="D1893" s="18" t="n">
        <x:v>3100.75</x:v>
      </x:c>
      <x:c r="E1893" s="18" t="n">
        <x:v>3113.83</x:v>
      </x:c>
      <x:c r="F1893" s="19" t="n">
        <x:v>837898</x:v>
      </x:c>
    </x:row>
    <x:row r="1894">
      <x:c r="A1894" s="17" t="n">
        <x:v>45749</x:v>
      </x:c>
      <x:c r="B1894" s="18" t="n">
        <x:v>3113.28</x:v>
      </x:c>
      <x:c r="C1894" s="18" t="n">
        <x:v>3142.52</x:v>
      </x:c>
      <x:c r="D1894" s="18" t="n">
        <x:v>3104.23</x:v>
      </x:c>
      <x:c r="E1894" s="18" t="n">
        <x:v>3135.72</x:v>
      </x:c>
      <x:c r="F1894" s="19" t="n">
        <x:v>778355</x:v>
      </x:c>
    </x:row>
    <x:row r="1895">
      <x:c r="A1895" s="17" t="n">
        <x:v>45750</x:v>
      </x:c>
      <x:c r="B1895" s="18" t="n">
        <x:v>3138.81</x:v>
      </x:c>
      <x:c r="C1895" s="18" t="n">
        <x:v>3167.67</x:v>
      </x:c>
      <x:c r="D1895" s="18" t="n">
        <x:v>3054.05</x:v>
      </x:c>
      <x:c r="E1895" s="18" t="n">
        <x:v>3114.26</x:v>
      </x:c>
      <x:c r="F1895" s="19" t="n">
        <x:v>1355234</x:v>
      </x:c>
    </x:row>
    <x:row r="1896">
      <x:c r="A1896" s="17" t="n">
        <x:v>45751</x:v>
      </x:c>
      <x:c r="B1896" s="18" t="n">
        <x:v>3114.35</x:v>
      </x:c>
      <x:c r="C1896" s="18" t="n">
        <x:v>3136.55</x:v>
      </x:c>
      <x:c r="D1896" s="18" t="n">
        <x:v>3015.7</x:v>
      </x:c>
      <x:c r="E1896" s="18" t="n">
        <x:v>3037.86</x:v>
      </x:c>
      <x:c r="F1896" s="19" t="n">
        <x:v>1226700</x:v>
      </x:c>
    </x:row>
    <x:row r="1897">
      <x:c r="A1897" s="17" t="n">
        <x:v>45754</x:v>
      </x:c>
      <x:c r="B1897" s="18" t="n">
        <x:v>3021.37</x:v>
      </x:c>
      <x:c r="C1897" s="18" t="n">
        <x:v>3055.8</x:v>
      </x:c>
      <x:c r="D1897" s="18" t="n">
        <x:v>2956.05</x:v>
      </x:c>
      <x:c r="E1897" s="18" t="n">
        <x:v>2980.77</x:v>
      </x:c>
      <x:c r="F1897" s="19" t="n">
        <x:v>1719636</x:v>
      </x:c>
    </x:row>
    <x:row r="1898">
      <x:c r="A1898" s="17" t="n">
        <x:v>45755</x:v>
      </x:c>
      <x:c r="B1898" s="18" t="n">
        <x:v>2981.91</x:v>
      </x:c>
      <x:c r="C1898" s="18" t="n">
        <x:v>3022.69</x:v>
      </x:c>
      <x:c r="D1898" s="18" t="n">
        <x:v>2974.59</x:v>
      </x:c>
      <x:c r="E1898" s="18" t="n">
        <x:v>2982.79</x:v>
      </x:c>
      <x:c r="F1898" s="19" t="n">
        <x:v>989033</x:v>
      </x:c>
    </x:row>
    <x:row r="1899">
      <x:c r="A1899" s="17" t="n">
        <x:v>45756</x:v>
      </x:c>
      <x:c r="B1899" s="18" t="n">
        <x:v>2983.15</x:v>
      </x:c>
      <x:c r="C1899" s="18" t="n">
        <x:v>3099.65</x:v>
      </x:c>
      <x:c r="D1899" s="18" t="n">
        <x:v>2969.99</x:v>
      </x:c>
      <x:c r="E1899" s="18" t="n">
        <x:v>3082.67</x:v>
      </x:c>
      <x:c r="F1899" s="19" t="n">
        <x:v>1386677</x:v>
      </x:c>
    </x:row>
    <x:row r="1900">
      <x:c r="A1900" s="17" t="n">
        <x:v>45757</x:v>
      </x:c>
      <x:c r="B1900" s="18" t="n">
        <x:v>3082.87</x:v>
      </x:c>
      <x:c r="C1900" s="18" t="n">
        <x:v>3176.34</x:v>
      </x:c>
      <x:c r="D1900" s="18" t="n">
        <x:v>3071.23</x:v>
      </x:c>
      <x:c r="E1900" s="18" t="n">
        <x:v>3175.2</x:v>
      </x:c>
      <x:c r="F1900" s="19" t="n">
        <x:v>1128770</x:v>
      </x:c>
    </x:row>
    <x:row r="1901">
      <x:c r="A1901" s="17" t="n">
        <x:v>45758</x:v>
      </x:c>
      <x:c r="B1901" s="18" t="n">
        <x:v>3175.67</x:v>
      </x:c>
      <x:c r="C1901" s="18" t="n">
        <x:v>3245.35</x:v>
      </x:c>
      <x:c r="D1901" s="18" t="n">
        <x:v>3175.47</x:v>
      </x:c>
      <x:c r="E1901" s="18" t="n">
        <x:v>3236.91</x:v>
      </x:c>
      <x:c r="F1901" s="19" t="n">
        <x:v>1236670</x:v>
      </x:c>
    </x:row>
    <x:row r="1902">
      <x:c r="A1902" s="17" t="n">
        <x:v>45761</x:v>
      </x:c>
      <x:c r="B1902" s="18" t="n">
        <x:v>3226.9</x:v>
      </x:c>
      <x:c r="C1902" s="18" t="n">
        <x:v>3245.61</x:v>
      </x:c>
      <x:c r="D1902" s="18" t="n">
        <x:v>3193.25</x:v>
      </x:c>
      <x:c r="E1902" s="18" t="n">
        <x:v>3210.77</x:v>
      </x:c>
      <x:c r="F1902" s="19" t="n">
        <x:v>809306</x:v>
      </x:c>
    </x:row>
    <x:row r="1903">
      <x:c r="A1903" s="17" t="n">
        <x:v>45762</x:v>
      </x:c>
      <x:c r="B1903" s="18" t="n">
        <x:v>3211.19</x:v>
      </x:c>
      <x:c r="C1903" s="18" t="n">
        <x:v>3233.57</x:v>
      </x:c>
      <x:c r="D1903" s="18" t="n">
        <x:v>3209.99</x:v>
      </x:c>
      <x:c r="E1903" s="18" t="n">
        <x:v>3229.87</x:v>
      </x:c>
      <x:c r="F1903" s="19" t="n">
        <x:v>528615</x:v>
      </x:c>
    </x:row>
    <x:row r="1904">
      <x:c r="A1904" s="17" t="n">
        <x:v>45763</x:v>
      </x:c>
      <x:c r="B1904" s="18" t="n">
        <x:v>3230.66</x:v>
      </x:c>
      <x:c r="C1904" s="18" t="n">
        <x:v>3343.24</x:v>
      </x:c>
      <x:c r="D1904" s="18" t="n">
        <x:v>3229.82</x:v>
      </x:c>
      <x:c r="E1904" s="18" t="n">
        <x:v>3343.11</x:v>
      </x:c>
      <x:c r="F1904" s="19" t="n">
        <x:v>877330</x:v>
      </x:c>
    </x:row>
    <x:row r="1905">
      <x:c r="A1905" s="17" t="n">
        <x:v>45764</x:v>
      </x:c>
      <x:c r="B1905" s="18" t="n">
        <x:v>3342.36</x:v>
      </x:c>
      <x:c r="C1905" s="18" t="n">
        <x:v>3357.67</x:v>
      </x:c>
      <x:c r="D1905" s="18" t="n">
        <x:v>3283.82</x:v>
      </x:c>
      <x:c r="E1905" s="18" t="n">
        <x:v>3327.05</x:v>
      </x:c>
      <x:c r="F1905" s="19" t="n">
        <x:v>875852</x:v>
      </x:c>
    </x:row>
    <x:row r="1906">
      <x:c r="A1906" s="17" t="n">
        <x:v>45768</x:v>
      </x:c>
      <x:c r="B1906" s="18" t="n">
        <x:v>3332.54</x:v>
      </x:c>
      <x:c r="C1906" s="18" t="n">
        <x:v>3430.47</x:v>
      </x:c>
      <x:c r="D1906" s="18" t="n">
        <x:v>3328.85</x:v>
      </x:c>
      <x:c r="E1906" s="18" t="n">
        <x:v>3423.84</x:v>
      </x:c>
      <x:c r="F1906" s="19" t="n">
        <x:v>784575</x:v>
      </x:c>
    </x:row>
    <x:row r="1907">
      <x:c r="A1907" s="17" t="n">
        <x:v>45769</x:v>
      </x:c>
      <x:c r="B1907" s="18" t="n">
        <x:v>3423.87</x:v>
      </x:c>
      <x:c r="C1907" s="18" t="n">
        <x:v>3499.94</x:v>
      </x:c>
      <x:c r="D1907" s="18" t="n">
        <x:v>3366.73</x:v>
      </x:c>
      <x:c r="E1907" s="18" t="n">
        <x:v>3380.84</x:v>
      </x:c>
      <x:c r="F1907" s="19" t="n">
        <x:v>1233529</x:v>
      </x:c>
    </x:row>
    <x:row r="1908">
      <x:c r="A1908" s="17" t="n">
        <x:v>45770</x:v>
      </x:c>
      <x:c r="B1908" s="18" t="n">
        <x:v>3343.59</x:v>
      </x:c>
      <x:c r="C1908" s="18" t="n">
        <x:v>3386.51</x:v>
      </x:c>
      <x:c r="D1908" s="18" t="n">
        <x:v>3260.08</x:v>
      </x:c>
      <x:c r="E1908" s="18" t="n">
        <x:v>3288.13</x:v>
      </x:c>
      <x:c r="F1908" s="19" t="n">
        <x:v>1191678</x:v>
      </x:c>
    </x:row>
    <x:row r="1909">
      <x:c r="A1909" s="17" t="n">
        <x:v>45771</x:v>
      </x:c>
      <x:c r="B1909" s="18" t="n">
        <x:v>3288.08</x:v>
      </x:c>
      <x:c r="C1909" s="18" t="n">
        <x:v>3367.31</x:v>
      </x:c>
      <x:c r="D1909" s="18" t="n">
        <x:v>3288.03</x:v>
      </x:c>
      <x:c r="E1909" s="18" t="n">
        <x:v>3349.57</x:v>
      </x:c>
      <x:c r="F1909" s="19" t="n">
        <x:v>886526</x:v>
      </x:c>
    </x:row>
    <x:row r="1910">
      <x:c r="A1910" s="17" t="n">
        <x:v>45772</x:v>
      </x:c>
      <x:c r="B1910" s="18" t="n">
        <x:v>3350.55</x:v>
      </x:c>
      <x:c r="C1910" s="18" t="n">
        <x:v>3370.36</x:v>
      </x:c>
      <x:c r="D1910" s="18" t="n">
        <x:v>3264.96</x:v>
      </x:c>
      <x:c r="E1910" s="18" t="n">
        <x:v>3318.87</x:v>
      </x:c>
      <x:c r="F1910" s="19" t="n">
        <x:v>885433</x:v>
      </x:c>
    </x:row>
    <x:row r="1911">
      <x:c r="A1911" s="17" t="n">
        <x:v>45775</x:v>
      </x:c>
      <x:c r="B1911" s="18" t="n">
        <x:v>3324.7</x:v>
      </x:c>
      <x:c r="C1911" s="18" t="n">
        <x:v>3352.94</x:v>
      </x:c>
      <x:c r="D1911" s="18" t="n">
        <x:v>3267.97</x:v>
      </x:c>
      <x:c r="E1911" s="18" t="n">
        <x:v>3343.69</x:v>
      </x:c>
      <x:c r="F1911" s="19" t="n">
        <x:v>784001</x:v>
      </x:c>
    </x:row>
    <x:row r="1912">
      <x:c r="A1912" s="17" t="n">
        <x:v>45776</x:v>
      </x:c>
      <x:c r="B1912" s="18" t="n">
        <x:v>3344.59</x:v>
      </x:c>
      <x:c r="C1912" s="18" t="n">
        <x:v>3348.51</x:v>
      </x:c>
      <x:c r="D1912" s="18" t="n">
        <x:v>3299.63</x:v>
      </x:c>
      <x:c r="E1912" s="18" t="n">
        <x:v>3316.95</x:v>
      </x:c>
      <x:c r="F1912" s="19" t="n">
        <x:v>681621</x:v>
      </x:c>
    </x:row>
    <x:row r="1913">
      <x:c r="A1913" s="17" t="n">
        <x:v>45777</x:v>
      </x:c>
      <x:c r="B1913" s="18" t="n">
        <x:v>3313.33</x:v>
      </x:c>
      <x:c r="C1913" s="18" t="n">
        <x:v>3328</x:v>
      </x:c>
      <x:c r="D1913" s="18" t="n">
        <x:v>3266.8</x:v>
      </x:c>
      <x:c r="E1913" s="18" t="n">
        <x:v>3288</x:v>
      </x:c>
      <x:c r="F1913" s="19" t="n">
        <x:v>641539</x:v>
      </x:c>
    </x:row>
    <x:row r="1914">
      <x:c r="A1914" s="17" t="n">
        <x:v>45778</x:v>
      </x:c>
      <x:c r="B1914" s="18" t="n">
        <x:v>3288.72</x:v>
      </x:c>
      <x:c r="C1914" s="18" t="n">
        <x:v>3290.02</x:v>
      </x:c>
      <x:c r="D1914" s="18" t="n">
        <x:v>3201.93</x:v>
      </x:c>
      <x:c r="E1914" s="18" t="n">
        <x:v>3238.61</x:v>
      </x:c>
      <x:c r="F1914" s="19" t="n">
        <x:v>544858</x:v>
      </x:c>
    </x:row>
    <x:row r="1915">
      <x:c r="A1915" s="17" t="n">
        <x:v>45779</x:v>
      </x:c>
      <x:c r="B1915" s="18" t="n">
        <x:v>3239.25</x:v>
      </x:c>
      <x:c r="C1915" s="18" t="n">
        <x:v>3269.26</x:v>
      </x:c>
      <x:c r="D1915" s="18" t="n">
        <x:v>3222.77</x:v>
      </x:c>
      <x:c r="E1915" s="18" t="n">
        <x:v>3240.12</x:v>
      </x:c>
      <x:c r="F1915" s="19" t="n">
        <x:v>553007</x:v>
      </x:c>
    </x:row>
    <x:row r="1916">
      <x:c r="A1916" s="17" t="n">
        <x:v>45782</x:v>
      </x:c>
      <x:c r="B1916" s="18" t="n">
        <x:v>3238.79</x:v>
      </x:c>
      <x:c r="C1916" s="18" t="n">
        <x:v>3337.57</x:v>
      </x:c>
      <x:c r="D1916" s="18" t="n">
        <x:v>3237.35</x:v>
      </x:c>
      <x:c r="E1916" s="18" t="n">
        <x:v>3333.79</x:v>
      </x:c>
      <x:c r="F1916" s="19" t="n">
        <x:v>469203</x:v>
      </x:c>
    </x:row>
    <x:row r="1917">
      <x:c r="A1917" s="17" t="n">
        <x:v>45783</x:v>
      </x:c>
      <x:c r="B1917" s="18" t="n">
        <x:v>3335.08</x:v>
      </x:c>
      <x:c r="C1917" s="18" t="n">
        <x:v>3434.94</x:v>
      </x:c>
      <x:c r="D1917" s="18" t="n">
        <x:v>3323.17</x:v>
      </x:c>
      <x:c r="E1917" s="18" t="n">
        <x:v>3431.48</x:v>
      </x:c>
      <x:c r="F1917" s="19" t="n">
        <x:v>585318</x:v>
      </x:c>
    </x:row>
    <x:row r="1918">
      <x:c r="A1918" s="17" t="n">
        <x:v>45784</x:v>
      </x:c>
      <x:c r="B1918" s="18" t="n">
        <x:v>3435.21</x:v>
      </x:c>
      <x:c r="C1918" s="18" t="n">
        <x:v>3438.13</x:v>
      </x:c>
      <x:c r="D1918" s="18" t="n">
        <x:v>3360.13</x:v>
      </x:c>
      <x:c r="E1918" s="18" t="n">
        <x:v>3364.32</x:v>
      </x:c>
      <x:c r="F1918" s="19" t="n">
        <x:v>635553</x:v>
      </x:c>
    </x:row>
    <x:row r="1919">
      <x:c r="A1919" s="17" t="n">
        <x:v>45785</x:v>
      </x:c>
      <x:c r="B1919" s="18" t="n">
        <x:v>3365.47</x:v>
      </x:c>
      <x:c r="C1919" s="18" t="n">
        <x:v>3414.77</x:v>
      </x:c>
      <x:c r="D1919" s="18" t="n">
        <x:v>3288.73</x:v>
      </x:c>
      <x:c r="E1919" s="18" t="n">
        <x:v>3305.2</x:v>
      </x:c>
      <x:c r="F1919" s="19" t="n">
        <x:v>597611</x:v>
      </x:c>
    </x:row>
    <x:row r="1920">
      <x:c r="A1920" s="17" t="n">
        <x:v>45786</x:v>
      </x:c>
      <x:c r="B1920" s="18" t="n">
        <x:v>3304.23</x:v>
      </x:c>
      <x:c r="C1920" s="18" t="n">
        <x:v>3347.51</x:v>
      </x:c>
      <x:c r="D1920" s="18" t="n">
        <x:v>3274.68</x:v>
      </x:c>
      <x:c r="E1920" s="18" t="n">
        <x:v>3323.96</x:v>
      </x:c>
      <x:c r="F1920" s="19" t="n">
        <x:v>485328</x:v>
      </x:c>
    </x:row>
    <x:row r="1921">
      <x:c r="A1921" s="17" t="n">
        <x:v>45789</x:v>
      </x:c>
      <x:c r="B1921" s="18" t="n">
        <x:v>3287.39</x:v>
      </x:c>
      <x:c r="C1921" s="18" t="n">
        <x:v>3306.61</x:v>
      </x:c>
      <x:c r="D1921" s="18" t="n">
        <x:v>3207.72</x:v>
      </x:c>
      <x:c r="E1921" s="18" t="n">
        <x:v>3235.67</x:v>
      </x:c>
      <x:c r="F1921" s="19" t="n">
        <x:v>661892</x:v>
      </x:c>
    </x:row>
    <x:row r="1922">
      <x:c r="A1922" s="17" t="n">
        <x:v>45790</x:v>
      </x:c>
      <x:c r="B1922" s="18" t="n">
        <x:v>3236.27</x:v>
      </x:c>
      <x:c r="C1922" s="18" t="n">
        <x:v>3265.6</x:v>
      </x:c>
      <x:c r="D1922" s="18" t="n">
        <x:v>3215.89</x:v>
      </x:c>
      <x:c r="E1922" s="18" t="n">
        <x:v>3249.64</x:v>
      </x:c>
      <x:c r="F1922" s="19" t="n">
        <x:v>475612</x:v>
      </x:c>
    </x:row>
    <x:row r="1923">
      <x:c r="A1923" s="17" t="n">
        <x:v>45791</x:v>
      </x:c>
      <x:c r="B1923" s="18" t="n">
        <x:v>3249.69</x:v>
      </x:c>
      <x:c r="C1923" s="18" t="n">
        <x:v>3257.09</x:v>
      </x:c>
      <x:c r="D1923" s="18" t="n">
        <x:v>3167.52</x:v>
      </x:c>
      <x:c r="E1923" s="18" t="n">
        <x:v>3177.06</x:v>
      </x:c>
      <x:c r="F1923" s="19" t="n">
        <x:v>577015</x:v>
      </x:c>
    </x:row>
    <x:row r="1924">
      <x:c r="A1924" s="17" t="n">
        <x:v>45792</x:v>
      </x:c>
      <x:c r="B1924" s="18" t="n">
        <x:v>3176.95</x:v>
      </x:c>
      <x:c r="C1924" s="18" t="n">
        <x:v>3240.59</x:v>
      </x:c>
      <x:c r="D1924" s="18" t="n">
        <x:v>3120.68</x:v>
      </x:c>
      <x:c r="E1924" s="18" t="n">
        <x:v>3239.85</x:v>
      </x:c>
      <x:c r="F1924" s="19" t="n">
        <x:v>533966</x:v>
      </x:c>
    </x:row>
    <x:row r="1925">
      <x:c r="A1925" s="17" t="n">
        <x:v>45793</x:v>
      </x:c>
      <x:c r="B1925" s="18" t="n">
        <x:v>3240.18</x:v>
      </x:c>
      <x:c r="C1925" s="18" t="n">
        <x:v>3252.1</x:v>
      </x:c>
      <x:c r="D1925" s="18" t="n">
        <x:v>3154.24</x:v>
      </x:c>
      <x:c r="E1925" s="18" t="n">
        <x:v>3201.69</x:v>
      </x:c>
      <x:c r="F1925" s="19" t="n">
        <x:v>538796</x:v>
      </x:c>
    </x:row>
    <x:row r="1926">
      <x:c r="A1926" s="17" t="n">
        <x:v>45796</x:v>
      </x:c>
      <x:c r="B1926" s="18" t="n">
        <x:v>3218.59</x:v>
      </x:c>
      <x:c r="C1926" s="18" t="n">
        <x:v>3249.75</x:v>
      </x:c>
      <x:c r="D1926" s="18" t="n">
        <x:v>3206.32</x:v>
      </x:c>
      <x:c r="E1926" s="18" t="n">
        <x:v>3229.29</x:v>
      </x:c>
      <x:c r="F1926" s="19" t="n">
        <x:v>483063</x:v>
      </x:c>
    </x:row>
    <x:row r="1927">
      <x:c r="A1927" s="17" t="n">
        <x:v>45797</x:v>
      </x:c>
      <x:c r="B1927" s="18" t="n">
        <x:v>3230.09</x:v>
      </x:c>
      <x:c r="C1927" s="18" t="n">
        <x:v>3295.69</x:v>
      </x:c>
      <x:c r="D1927" s="18" t="n">
        <x:v>3204.56</x:v>
      </x:c>
      <x:c r="E1927" s="18" t="n">
        <x:v>3289.82</x:v>
      </x:c>
      <x:c r="F1927" s="19" t="n">
        <x:v>486740</x:v>
      </x:c>
    </x:row>
    <x:row r="1928">
      <x:c r="A1928" s="17" t="n">
        <x:v>45798</x:v>
      </x:c>
      <x:c r="B1928" s="18" t="n">
        <x:v>3290.09</x:v>
      </x:c>
      <x:c r="C1928" s="18" t="n">
        <x:v>3324.82</x:v>
      </x:c>
      <x:c r="D1928" s="18" t="n">
        <x:v>3285.36</x:v>
      </x:c>
      <x:c r="E1928" s="18" t="n">
        <x:v>3314.89</x:v>
      </x:c>
      <x:c r="F1928" s="19" t="n">
        <x:v>498605</x:v>
      </x:c>
    </x:row>
    <x:row r="1929">
      <x:c r="A1929" s="17" t="n">
        <x:v>45799</x:v>
      </x:c>
      <x:c r="B1929" s="18" t="n">
        <x:v>3315.07</x:v>
      </x:c>
      <x:c r="C1929" s="18" t="n">
        <x:v>3345.41</x:v>
      </x:c>
      <x:c r="D1929" s="18" t="n">
        <x:v>3279.26</x:v>
      </x:c>
      <x:c r="E1929" s="18" t="n">
        <x:v>3294.63</x:v>
      </x:c>
      <x:c r="F1929" s="19" t="n">
        <x:v>563241</x:v>
      </x:c>
    </x:row>
    <x:row r="1930">
      <x:c r="A1930" s="17" t="n">
        <x:v>45800</x:v>
      </x:c>
      <x:c r="B1930" s="18" t="n">
        <x:v>3294.5</x:v>
      </x:c>
      <x:c r="C1930" s="18" t="n">
        <x:v>3365.86</x:v>
      </x:c>
      <x:c r="D1930" s="18" t="n">
        <x:v>3287.05</x:v>
      </x:c>
      <x:c r="E1930" s="18" t="n">
        <x:v>3357.37</x:v>
      </x:c>
      <x:c r="F1930" s="19" t="n">
        <x:v>554530</x:v>
      </x:c>
    </x:row>
    <x:row r="1931">
      <x:c r="A1931" s="17" t="n">
        <x:v>45803</x:v>
      </x:c>
      <x:c r="B1931" s="18" t="n">
        <x:v>3356.03</x:v>
      </x:c>
      <x:c r="C1931" s="18" t="n">
        <x:v>3356.75</x:v>
      </x:c>
      <x:c r="D1931" s="18" t="n">
        <x:v>3323.49</x:v>
      </x:c>
      <x:c r="E1931" s="18" t="n">
        <x:v>3342.18</x:v>
      </x:c>
      <x:c r="F1931" s="19" t="n">
        <x:v>278763</x:v>
      </x:c>
    </x:row>
    <x:row r="1932">
      <x:c r="A1932" s="17" t="n">
        <x:v>45804</x:v>
      </x:c>
      <x:c r="B1932" s="18" t="n">
        <x:v>3342.72</x:v>
      </x:c>
      <x:c r="C1932" s="18" t="n">
        <x:v>3349.91</x:v>
      </x:c>
      <x:c r="D1932" s="18" t="n">
        <x:v>3284.49</x:v>
      </x:c>
      <x:c r="E1932" s="18" t="n">
        <x:v>3300.38</x:v>
      </x:c>
      <x:c r="F1932" s="19" t="n">
        <x:v>442129</x:v>
      </x:c>
    </x:row>
    <x:row r="1933">
      <x:c r="A1933" s="17" t="n">
        <x:v>45805</x:v>
      </x:c>
      <x:c r="B1933" s="18" t="n">
        <x:v>3300.88</x:v>
      </x:c>
      <x:c r="C1933" s="18" t="n">
        <x:v>3325.48</x:v>
      </x:c>
      <x:c r="D1933" s="18" t="n">
        <x:v>3276.5</x:v>
      </x:c>
      <x:c r="E1933" s="18" t="n">
        <x:v>3286.8</x:v>
      </x:c>
      <x:c r="F1933" s="19" t="n">
        <x:v>408505</x:v>
      </x:c>
    </x:row>
    <x:row r="1934">
      <x:c r="A1934" s="17" t="n">
        <x:v>45806</x:v>
      </x:c>
      <x:c r="B1934" s="18" t="n">
        <x:v>3286.86</x:v>
      </x:c>
      <x:c r="C1934" s="18" t="n">
        <x:v>3331.29</x:v>
      </x:c>
      <x:c r="D1934" s="18" t="n">
        <x:v>3245.43</x:v>
      </x:c>
      <x:c r="E1934" s="18" t="n">
        <x:v>3317.89</x:v>
      </x:c>
      <x:c r="F1934" s="19" t="n">
        <x:v>539454</x:v>
      </x:c>
    </x:row>
    <x:row r="1935">
      <x:c r="A1935" s="17" t="n">
        <x:v>45807</x:v>
      </x:c>
      <x:c r="B1935" s="18" t="n">
        <x:v>3318.68</x:v>
      </x:c>
      <x:c r="C1935" s="18" t="n">
        <x:v>3322.72</x:v>
      </x:c>
      <x:c r="D1935" s="18" t="n">
        <x:v>3271.47</x:v>
      </x:c>
      <x:c r="E1935" s="18" t="n">
        <x:v>3288.93</x:v>
      </x:c>
      <x:c r="F1935" s="19" t="n">
        <x:v>496062</x:v>
      </x:c>
    </x:row>
    <x:row r="1936">
      <x:c r="A1936" s="17" t="n">
        <x:v>45810</x:v>
      </x:c>
      <x:c r="B1936" s="18" t="n">
        <x:v>3298.76</x:v>
      </x:c>
      <x:c r="C1936" s="18" t="n">
        <x:v>3382.86</x:v>
      </x:c>
      <x:c r="D1936" s="18" t="n">
        <x:v>3295.75</x:v>
      </x:c>
      <x:c r="E1936" s="18" t="n">
        <x:v>3380.64</x:v>
      </x:c>
      <x:c r="F1936" s="19" t="n">
        <x:v>461738</x:v>
      </x:c>
    </x:row>
    <x:row r="1937">
      <x:c r="A1937" s="17" t="n">
        <x:v>45811</x:v>
      </x:c>
      <x:c r="B1937" s="18" t="n">
        <x:v>3383.51</x:v>
      </x:c>
      <x:c r="C1937" s="18" t="n">
        <x:v>3392.19</x:v>
      </x:c>
      <x:c r="D1937" s="18" t="n">
        <x:v>3333.08</x:v>
      </x:c>
      <x:c r="E1937" s="18" t="n">
        <x:v>3352.91</x:v>
      </x:c>
      <x:c r="F1937" s="19" t="n">
        <x:v>436080</x:v>
      </x:c>
    </x:row>
    <x:row r="1938">
      <x:c r="A1938" s="17" t="n">
        <x:v>45812</x:v>
      </x:c>
      <x:c r="B1938" s="18" t="n">
        <x:v>3353.93</x:v>
      </x:c>
      <x:c r="C1938" s="18" t="n">
        <x:v>3384.64</x:v>
      </x:c>
      <x:c r="D1938" s="18" t="n">
        <x:v>3343.67</x:v>
      </x:c>
      <x:c r="E1938" s="18" t="n">
        <x:v>3372.25</x:v>
      </x:c>
      <x:c r="F1938" s="19" t="n">
        <x:v>420245</x:v>
      </x:c>
    </x:row>
    <x:row r="1939">
      <x:c r="A1939" s="17" t="n">
        <x:v>45813</x:v>
      </x:c>
      <x:c r="B1939" s="18" t="n">
        <x:v>3373.34</x:v>
      </x:c>
      <x:c r="C1939" s="18" t="n">
        <x:v>3403.42</x:v>
      </x:c>
      <x:c r="D1939" s="18" t="n">
        <x:v>3339.43</x:v>
      </x:c>
      <x:c r="E1939" s="18" t="n">
        <x:v>3351.98</x:v>
      </x:c>
      <x:c r="F1939" s="19" t="n">
        <x:v>808095</x:v>
      </x:c>
    </x:row>
    <x:row r="1940">
      <x:c r="A1940" s="17" t="n">
        <x:v>45814</x:v>
      </x:c>
      <x:c r="B1940" s="18" t="n">
        <x:v>3353.55</x:v>
      </x:c>
      <x:c r="C1940" s="18" t="n">
        <x:v>3369.26</x:v>
      </x:c>
      <x:c r="D1940" s="18" t="n">
        <x:v>3353</x:v>
      </x:c>
      <x:c r="E1940" s="18" t="n">
        <x:v>3368.94</x:v>
      </x:c>
      <x:c r="F1940" s="19" t="n">
        <x:v>120857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3" t="str">
        <x:v>联邦基金目标区间上限（日度）</x:v>
      </x:c>
      <x:c r="B1" s="3"/>
    </x:row>
    <x:row r="2">
      <x:c r="A2" s="14" t="str">
        <x:v>日期</x:v>
      </x:c>
      <x:c r="B2" s="16" t="str">
        <x:v>上限</x:v>
      </x:c>
    </x:row>
    <x:row r="3">
      <x:c r="A3" s="17" t="n">
        <x:v>43070</x:v>
      </x:c>
      <x:c r="B3" s="20" t="n">
        <x:v>0.0125</x:v>
      </x:c>
    </x:row>
    <x:row r="4">
      <x:c r="A4" s="17" t="n">
        <x:v>43071</x:v>
      </x:c>
      <x:c r="B4" s="20" t="n">
        <x:v>0.0125</x:v>
      </x:c>
    </x:row>
    <x:row r="5">
      <x:c r="A5" s="17" t="n">
        <x:v>43072</x:v>
      </x:c>
      <x:c r="B5" s="20" t="n">
        <x:v>0.0125</x:v>
      </x:c>
    </x:row>
    <x:row r="6">
      <x:c r="A6" s="17" t="n">
        <x:v>43073</x:v>
      </x:c>
      <x:c r="B6" s="20" t="n">
        <x:v>0.0125</x:v>
      </x:c>
    </x:row>
    <x:row r="7">
      <x:c r="A7" s="17" t="n">
        <x:v>43074</x:v>
      </x:c>
      <x:c r="B7" s="20" t="n">
        <x:v>0.0125</x:v>
      </x:c>
    </x:row>
    <x:row r="8">
      <x:c r="A8" s="17" t="n">
        <x:v>43075</x:v>
      </x:c>
      <x:c r="B8" s="20" t="n">
        <x:v>0.0125</x:v>
      </x:c>
    </x:row>
    <x:row r="9">
      <x:c r="A9" s="17" t="n">
        <x:v>43076</x:v>
      </x:c>
      <x:c r="B9" s="20" t="n">
        <x:v>0.0125</x:v>
      </x:c>
    </x:row>
    <x:row r="10">
      <x:c r="A10" s="17" t="n">
        <x:v>43077</x:v>
      </x:c>
      <x:c r="B10" s="20" t="n">
        <x:v>0.0125</x:v>
      </x:c>
    </x:row>
    <x:row r="11">
      <x:c r="A11" s="17" t="n">
        <x:v>43078</x:v>
      </x:c>
      <x:c r="B11" s="20" t="n">
        <x:v>0.0125</x:v>
      </x:c>
    </x:row>
    <x:row r="12">
      <x:c r="A12" s="17" t="n">
        <x:v>43079</x:v>
      </x:c>
      <x:c r="B12" s="20" t="n">
        <x:v>0.0125</x:v>
      </x:c>
    </x:row>
    <x:row r="13">
      <x:c r="A13" s="17" t="n">
        <x:v>43080</x:v>
      </x:c>
      <x:c r="B13" s="20" t="n">
        <x:v>0.0125</x:v>
      </x:c>
    </x:row>
    <x:row r="14">
      <x:c r="A14" s="17" t="n">
        <x:v>43081</x:v>
      </x:c>
      <x:c r="B14" s="20" t="n">
        <x:v>0.0125</x:v>
      </x:c>
    </x:row>
    <x:row r="15">
      <x:c r="A15" s="17" t="n">
        <x:v>43082</x:v>
      </x:c>
      <x:c r="B15" s="20" t="n">
        <x:v>0.0125</x:v>
      </x:c>
    </x:row>
    <x:row r="16">
      <x:c r="A16" s="17" t="n">
        <x:v>43083</x:v>
      </x:c>
      <x:c r="B16" s="20" t="n">
        <x:v>0.015</x:v>
      </x:c>
    </x:row>
    <x:row r="17">
      <x:c r="A17" s="17" t="n">
        <x:v>43084</x:v>
      </x:c>
      <x:c r="B17" s="20" t="n">
        <x:v>0.015</x:v>
      </x:c>
    </x:row>
    <x:row r="18">
      <x:c r="A18" s="17" t="n">
        <x:v>43085</x:v>
      </x:c>
      <x:c r="B18" s="20" t="n">
        <x:v>0.015</x:v>
      </x:c>
    </x:row>
    <x:row r="19">
      <x:c r="A19" s="17" t="n">
        <x:v>43086</x:v>
      </x:c>
      <x:c r="B19" s="20" t="n">
        <x:v>0.015</x:v>
      </x:c>
    </x:row>
    <x:row r="20">
      <x:c r="A20" s="17" t="n">
        <x:v>43087</x:v>
      </x:c>
      <x:c r="B20" s="20" t="n">
        <x:v>0.015</x:v>
      </x:c>
    </x:row>
    <x:row r="21">
      <x:c r="A21" s="17" t="n">
        <x:v>43088</x:v>
      </x:c>
      <x:c r="B21" s="20" t="n">
        <x:v>0.015</x:v>
      </x:c>
    </x:row>
    <x:row r="22">
      <x:c r="A22" s="17" t="n">
        <x:v>43089</x:v>
      </x:c>
      <x:c r="B22" s="20" t="n">
        <x:v>0.015</x:v>
      </x:c>
    </x:row>
    <x:row r="23">
      <x:c r="A23" s="17" t="n">
        <x:v>43090</x:v>
      </x:c>
      <x:c r="B23" s="20" t="n">
        <x:v>0.015</x:v>
      </x:c>
    </x:row>
    <x:row r="24">
      <x:c r="A24" s="17" t="n">
        <x:v>43091</x:v>
      </x:c>
      <x:c r="B24" s="20" t="n">
        <x:v>0.015</x:v>
      </x:c>
    </x:row>
    <x:row r="25">
      <x:c r="A25" s="17" t="n">
        <x:v>43092</x:v>
      </x:c>
      <x:c r="B25" s="20" t="n">
        <x:v>0.015</x:v>
      </x:c>
    </x:row>
    <x:row r="26">
      <x:c r="A26" s="17" t="n">
        <x:v>43093</x:v>
      </x:c>
      <x:c r="B26" s="20" t="n">
        <x:v>0.015</x:v>
      </x:c>
    </x:row>
    <x:row r="27">
      <x:c r="A27" s="17" t="n">
        <x:v>43094</x:v>
      </x:c>
      <x:c r="B27" s="20" t="n">
        <x:v>0.015</x:v>
      </x:c>
    </x:row>
    <x:row r="28">
      <x:c r="A28" s="17" t="n">
        <x:v>43095</x:v>
      </x:c>
      <x:c r="B28" s="20" t="n">
        <x:v>0.015</x:v>
      </x:c>
    </x:row>
    <x:row r="29">
      <x:c r="A29" s="17" t="n">
        <x:v>43096</x:v>
      </x:c>
      <x:c r="B29" s="20" t="n">
        <x:v>0.015</x:v>
      </x:c>
    </x:row>
    <x:row r="30">
      <x:c r="A30" s="17" t="n">
        <x:v>43097</x:v>
      </x:c>
      <x:c r="B30" s="20" t="n">
        <x:v>0.015</x:v>
      </x:c>
    </x:row>
    <x:row r="31">
      <x:c r="A31" s="17" t="n">
        <x:v>43098</x:v>
      </x:c>
      <x:c r="B31" s="20" t="n">
        <x:v>0.015</x:v>
      </x:c>
    </x:row>
    <x:row r="32">
      <x:c r="A32" s="17" t="n">
        <x:v>43099</x:v>
      </x:c>
      <x:c r="B32" s="20" t="n">
        <x:v>0.015</x:v>
      </x:c>
    </x:row>
    <x:row r="33">
      <x:c r="A33" s="17" t="n">
        <x:v>43100</x:v>
      </x:c>
      <x:c r="B33" s="20" t="n">
        <x:v>0.015</x:v>
      </x:c>
    </x:row>
    <x:row r="34">
      <x:c r="A34" s="17" t="n">
        <x:v>43101</x:v>
      </x:c>
      <x:c r="B34" s="20" t="n">
        <x:v>0.015</x:v>
      </x:c>
    </x:row>
    <x:row r="35">
      <x:c r="A35" s="17" t="n">
        <x:v>43102</x:v>
      </x:c>
      <x:c r="B35" s="20" t="n">
        <x:v>0.015</x:v>
      </x:c>
    </x:row>
    <x:row r="36">
      <x:c r="A36" s="17" t="n">
        <x:v>43103</x:v>
      </x:c>
      <x:c r="B36" s="20" t="n">
        <x:v>0.015</x:v>
      </x:c>
    </x:row>
    <x:row r="37">
      <x:c r="A37" s="17" t="n">
        <x:v>43104</x:v>
      </x:c>
      <x:c r="B37" s="20" t="n">
        <x:v>0.015</x:v>
      </x:c>
    </x:row>
    <x:row r="38">
      <x:c r="A38" s="17" t="n">
        <x:v>43105</x:v>
      </x:c>
      <x:c r="B38" s="20" t="n">
        <x:v>0.015</x:v>
      </x:c>
    </x:row>
    <x:row r="39">
      <x:c r="A39" s="17" t="n">
        <x:v>43106</x:v>
      </x:c>
      <x:c r="B39" s="20" t="n">
        <x:v>0.015</x:v>
      </x:c>
    </x:row>
    <x:row r="40">
      <x:c r="A40" s="17" t="n">
        <x:v>43107</x:v>
      </x:c>
      <x:c r="B40" s="20" t="n">
        <x:v>0.015</x:v>
      </x:c>
    </x:row>
    <x:row r="41">
      <x:c r="A41" s="17" t="n">
        <x:v>43108</x:v>
      </x:c>
      <x:c r="B41" s="20" t="n">
        <x:v>0.015</x:v>
      </x:c>
    </x:row>
    <x:row r="42">
      <x:c r="A42" s="17" t="n">
        <x:v>43109</x:v>
      </x:c>
      <x:c r="B42" s="20" t="n">
        <x:v>0.015</x:v>
      </x:c>
    </x:row>
    <x:row r="43">
      <x:c r="A43" s="17" t="n">
        <x:v>43110</x:v>
      </x:c>
      <x:c r="B43" s="20" t="n">
        <x:v>0.015</x:v>
      </x:c>
    </x:row>
    <x:row r="44">
      <x:c r="A44" s="17" t="n">
        <x:v>43111</x:v>
      </x:c>
      <x:c r="B44" s="20" t="n">
        <x:v>0.015</x:v>
      </x:c>
    </x:row>
    <x:row r="45">
      <x:c r="A45" s="17" t="n">
        <x:v>43112</x:v>
      </x:c>
      <x:c r="B45" s="20" t="n">
        <x:v>0.015</x:v>
      </x:c>
    </x:row>
    <x:row r="46">
      <x:c r="A46" s="17" t="n">
        <x:v>43113</x:v>
      </x:c>
      <x:c r="B46" s="20" t="n">
        <x:v>0.015</x:v>
      </x:c>
    </x:row>
    <x:row r="47">
      <x:c r="A47" s="17" t="n">
        <x:v>43114</x:v>
      </x:c>
      <x:c r="B47" s="20" t="n">
        <x:v>0.015</x:v>
      </x:c>
    </x:row>
    <x:row r="48">
      <x:c r="A48" s="17" t="n">
        <x:v>43115</x:v>
      </x:c>
      <x:c r="B48" s="20" t="n">
        <x:v>0.015</x:v>
      </x:c>
    </x:row>
    <x:row r="49">
      <x:c r="A49" s="17" t="n">
        <x:v>43116</x:v>
      </x:c>
      <x:c r="B49" s="20" t="n">
        <x:v>0.015</x:v>
      </x:c>
    </x:row>
    <x:row r="50">
      <x:c r="A50" s="17" t="n">
        <x:v>43117</x:v>
      </x:c>
      <x:c r="B50" s="20" t="n">
        <x:v>0.015</x:v>
      </x:c>
    </x:row>
    <x:row r="51">
      <x:c r="A51" s="17" t="n">
        <x:v>43118</x:v>
      </x:c>
      <x:c r="B51" s="20" t="n">
        <x:v>0.015</x:v>
      </x:c>
    </x:row>
    <x:row r="52">
      <x:c r="A52" s="17" t="n">
        <x:v>43119</x:v>
      </x:c>
      <x:c r="B52" s="20" t="n">
        <x:v>0.015</x:v>
      </x:c>
    </x:row>
    <x:row r="53">
      <x:c r="A53" s="17" t="n">
        <x:v>43120</x:v>
      </x:c>
      <x:c r="B53" s="20" t="n">
        <x:v>0.015</x:v>
      </x:c>
    </x:row>
    <x:row r="54">
      <x:c r="A54" s="17" t="n">
        <x:v>43121</x:v>
      </x:c>
      <x:c r="B54" s="20" t="n">
        <x:v>0.015</x:v>
      </x:c>
    </x:row>
    <x:row r="55">
      <x:c r="A55" s="17" t="n">
        <x:v>43122</x:v>
      </x:c>
      <x:c r="B55" s="20" t="n">
        <x:v>0.015</x:v>
      </x:c>
    </x:row>
    <x:row r="56">
      <x:c r="A56" s="17" t="n">
        <x:v>43123</x:v>
      </x:c>
      <x:c r="B56" s="20" t="n">
        <x:v>0.015</x:v>
      </x:c>
    </x:row>
    <x:row r="57">
      <x:c r="A57" s="17" t="n">
        <x:v>43124</x:v>
      </x:c>
      <x:c r="B57" s="20" t="n">
        <x:v>0.015</x:v>
      </x:c>
    </x:row>
    <x:row r="58">
      <x:c r="A58" s="17" t="n">
        <x:v>43125</x:v>
      </x:c>
      <x:c r="B58" s="20" t="n">
        <x:v>0.015</x:v>
      </x:c>
    </x:row>
    <x:row r="59">
      <x:c r="A59" s="17" t="n">
        <x:v>43126</x:v>
      </x:c>
      <x:c r="B59" s="20" t="n">
        <x:v>0.015</x:v>
      </x:c>
    </x:row>
    <x:row r="60">
      <x:c r="A60" s="17" t="n">
        <x:v>43127</x:v>
      </x:c>
      <x:c r="B60" s="20" t="n">
        <x:v>0.015</x:v>
      </x:c>
    </x:row>
    <x:row r="61">
      <x:c r="A61" s="17" t="n">
        <x:v>43128</x:v>
      </x:c>
      <x:c r="B61" s="20" t="n">
        <x:v>0.015</x:v>
      </x:c>
    </x:row>
    <x:row r="62">
      <x:c r="A62" s="17" t="n">
        <x:v>43129</x:v>
      </x:c>
      <x:c r="B62" s="20" t="n">
        <x:v>0.015</x:v>
      </x:c>
    </x:row>
    <x:row r="63">
      <x:c r="A63" s="17" t="n">
        <x:v>43130</x:v>
      </x:c>
      <x:c r="B63" s="20" t="n">
        <x:v>0.015</x:v>
      </x:c>
    </x:row>
    <x:row r="64">
      <x:c r="A64" s="17" t="n">
        <x:v>43131</x:v>
      </x:c>
      <x:c r="B64" s="20" t="n">
        <x:v>0.015</x:v>
      </x:c>
    </x:row>
    <x:row r="65">
      <x:c r="A65" s="17" t="n">
        <x:v>43132</x:v>
      </x:c>
      <x:c r="B65" s="20" t="n">
        <x:v>0.015</x:v>
      </x:c>
    </x:row>
    <x:row r="66">
      <x:c r="A66" s="17" t="n">
        <x:v>43133</x:v>
      </x:c>
      <x:c r="B66" s="20" t="n">
        <x:v>0.015</x:v>
      </x:c>
    </x:row>
    <x:row r="67">
      <x:c r="A67" s="17" t="n">
        <x:v>43134</x:v>
      </x:c>
      <x:c r="B67" s="20" t="n">
        <x:v>0.015</x:v>
      </x:c>
    </x:row>
    <x:row r="68">
      <x:c r="A68" s="17" t="n">
        <x:v>43135</x:v>
      </x:c>
      <x:c r="B68" s="20" t="n">
        <x:v>0.015</x:v>
      </x:c>
    </x:row>
    <x:row r="69">
      <x:c r="A69" s="17" t="n">
        <x:v>43136</x:v>
      </x:c>
      <x:c r="B69" s="20" t="n">
        <x:v>0.015</x:v>
      </x:c>
    </x:row>
    <x:row r="70">
      <x:c r="A70" s="17" t="n">
        <x:v>43137</x:v>
      </x:c>
      <x:c r="B70" s="20" t="n">
        <x:v>0.015</x:v>
      </x:c>
    </x:row>
    <x:row r="71">
      <x:c r="A71" s="17" t="n">
        <x:v>43138</x:v>
      </x:c>
      <x:c r="B71" s="20" t="n">
        <x:v>0.015</x:v>
      </x:c>
    </x:row>
    <x:row r="72">
      <x:c r="A72" s="17" t="n">
        <x:v>43139</x:v>
      </x:c>
      <x:c r="B72" s="20" t="n">
        <x:v>0.015</x:v>
      </x:c>
    </x:row>
    <x:row r="73">
      <x:c r="A73" s="17" t="n">
        <x:v>43140</x:v>
      </x:c>
      <x:c r="B73" s="20" t="n">
        <x:v>0.015</x:v>
      </x:c>
    </x:row>
    <x:row r="74">
      <x:c r="A74" s="17" t="n">
        <x:v>43141</x:v>
      </x:c>
      <x:c r="B74" s="20" t="n">
        <x:v>0.015</x:v>
      </x:c>
    </x:row>
    <x:row r="75">
      <x:c r="A75" s="17" t="n">
        <x:v>43142</x:v>
      </x:c>
      <x:c r="B75" s="20" t="n">
        <x:v>0.015</x:v>
      </x:c>
    </x:row>
    <x:row r="76">
      <x:c r="A76" s="17" t="n">
        <x:v>43143</x:v>
      </x:c>
      <x:c r="B76" s="20" t="n">
        <x:v>0.015</x:v>
      </x:c>
    </x:row>
    <x:row r="77">
      <x:c r="A77" s="17" t="n">
        <x:v>43144</x:v>
      </x:c>
      <x:c r="B77" s="20" t="n">
        <x:v>0.015</x:v>
      </x:c>
    </x:row>
    <x:row r="78">
      <x:c r="A78" s="17" t="n">
        <x:v>43145</x:v>
      </x:c>
      <x:c r="B78" s="20" t="n">
        <x:v>0.015</x:v>
      </x:c>
    </x:row>
    <x:row r="79">
      <x:c r="A79" s="17" t="n">
        <x:v>43146</x:v>
      </x:c>
      <x:c r="B79" s="20" t="n">
        <x:v>0.015</x:v>
      </x:c>
    </x:row>
    <x:row r="80">
      <x:c r="A80" s="17" t="n">
        <x:v>43147</x:v>
      </x:c>
      <x:c r="B80" s="20" t="n">
        <x:v>0.015</x:v>
      </x:c>
    </x:row>
    <x:row r="81">
      <x:c r="A81" s="17" t="n">
        <x:v>43148</x:v>
      </x:c>
      <x:c r="B81" s="20" t="n">
        <x:v>0.015</x:v>
      </x:c>
    </x:row>
    <x:row r="82">
      <x:c r="A82" s="17" t="n">
        <x:v>43149</x:v>
      </x:c>
      <x:c r="B82" s="20" t="n">
        <x:v>0.015</x:v>
      </x:c>
    </x:row>
    <x:row r="83">
      <x:c r="A83" s="17" t="n">
        <x:v>43150</x:v>
      </x:c>
      <x:c r="B83" s="20" t="n">
        <x:v>0.015</x:v>
      </x:c>
    </x:row>
    <x:row r="84">
      <x:c r="A84" s="17" t="n">
        <x:v>43151</x:v>
      </x:c>
      <x:c r="B84" s="20" t="n">
        <x:v>0.015</x:v>
      </x:c>
    </x:row>
    <x:row r="85">
      <x:c r="A85" s="17" t="n">
        <x:v>43152</x:v>
      </x:c>
      <x:c r="B85" s="20" t="n">
        <x:v>0.015</x:v>
      </x:c>
    </x:row>
    <x:row r="86">
      <x:c r="A86" s="17" t="n">
        <x:v>43153</x:v>
      </x:c>
      <x:c r="B86" s="20" t="n">
        <x:v>0.015</x:v>
      </x:c>
    </x:row>
    <x:row r="87">
      <x:c r="A87" s="17" t="n">
        <x:v>43154</x:v>
      </x:c>
      <x:c r="B87" s="20" t="n">
        <x:v>0.015</x:v>
      </x:c>
    </x:row>
    <x:row r="88">
      <x:c r="A88" s="17" t="n">
        <x:v>43155</x:v>
      </x:c>
      <x:c r="B88" s="20" t="n">
        <x:v>0.015</x:v>
      </x:c>
    </x:row>
    <x:row r="89">
      <x:c r="A89" s="17" t="n">
        <x:v>43156</x:v>
      </x:c>
      <x:c r="B89" s="20" t="n">
        <x:v>0.015</x:v>
      </x:c>
    </x:row>
    <x:row r="90">
      <x:c r="A90" s="17" t="n">
        <x:v>43157</x:v>
      </x:c>
      <x:c r="B90" s="20" t="n">
        <x:v>0.015</x:v>
      </x:c>
    </x:row>
    <x:row r="91">
      <x:c r="A91" s="17" t="n">
        <x:v>43158</x:v>
      </x:c>
      <x:c r="B91" s="20" t="n">
        <x:v>0.015</x:v>
      </x:c>
    </x:row>
    <x:row r="92">
      <x:c r="A92" s="17" t="n">
        <x:v>43159</x:v>
      </x:c>
      <x:c r="B92" s="20" t="n">
        <x:v>0.015</x:v>
      </x:c>
    </x:row>
    <x:row r="93">
      <x:c r="A93" s="17" t="n">
        <x:v>43160</x:v>
      </x:c>
      <x:c r="B93" s="20" t="n">
        <x:v>0.015</x:v>
      </x:c>
    </x:row>
    <x:row r="94">
      <x:c r="A94" s="17" t="n">
        <x:v>43161</x:v>
      </x:c>
      <x:c r="B94" s="20" t="n">
        <x:v>0.015</x:v>
      </x:c>
    </x:row>
    <x:row r="95">
      <x:c r="A95" s="17" t="n">
        <x:v>43162</x:v>
      </x:c>
      <x:c r="B95" s="20" t="n">
        <x:v>0.015</x:v>
      </x:c>
    </x:row>
    <x:row r="96">
      <x:c r="A96" s="17" t="n">
        <x:v>43163</x:v>
      </x:c>
      <x:c r="B96" s="20" t="n">
        <x:v>0.015</x:v>
      </x:c>
    </x:row>
    <x:row r="97">
      <x:c r="A97" s="17" t="n">
        <x:v>43164</x:v>
      </x:c>
      <x:c r="B97" s="20" t="n">
        <x:v>0.015</x:v>
      </x:c>
    </x:row>
    <x:row r="98">
      <x:c r="A98" s="17" t="n">
        <x:v>43165</x:v>
      </x:c>
      <x:c r="B98" s="20" t="n">
        <x:v>0.015</x:v>
      </x:c>
    </x:row>
    <x:row r="99">
      <x:c r="A99" s="17" t="n">
        <x:v>43166</x:v>
      </x:c>
      <x:c r="B99" s="20" t="n">
        <x:v>0.015</x:v>
      </x:c>
    </x:row>
    <x:row r="100">
      <x:c r="A100" s="17" t="n">
        <x:v>43167</x:v>
      </x:c>
      <x:c r="B100" s="20" t="n">
        <x:v>0.015</x:v>
      </x:c>
    </x:row>
    <x:row r="101">
      <x:c r="A101" s="17" t="n">
        <x:v>43168</x:v>
      </x:c>
      <x:c r="B101" s="20" t="n">
        <x:v>0.015</x:v>
      </x:c>
    </x:row>
    <x:row r="102">
      <x:c r="A102" s="17" t="n">
        <x:v>43169</x:v>
      </x:c>
      <x:c r="B102" s="20" t="n">
        <x:v>0.015</x:v>
      </x:c>
    </x:row>
    <x:row r="103">
      <x:c r="A103" s="17" t="n">
        <x:v>43170</x:v>
      </x:c>
      <x:c r="B103" s="20" t="n">
        <x:v>0.015</x:v>
      </x:c>
    </x:row>
    <x:row r="104">
      <x:c r="A104" s="17" t="n">
        <x:v>43171</x:v>
      </x:c>
      <x:c r="B104" s="20" t="n">
        <x:v>0.015</x:v>
      </x:c>
    </x:row>
    <x:row r="105">
      <x:c r="A105" s="17" t="n">
        <x:v>43172</x:v>
      </x:c>
      <x:c r="B105" s="20" t="n">
        <x:v>0.015</x:v>
      </x:c>
    </x:row>
    <x:row r="106">
      <x:c r="A106" s="17" t="n">
        <x:v>43173</x:v>
      </x:c>
      <x:c r="B106" s="20" t="n">
        <x:v>0.015</x:v>
      </x:c>
    </x:row>
    <x:row r="107">
      <x:c r="A107" s="17" t="n">
        <x:v>43174</x:v>
      </x:c>
      <x:c r="B107" s="20" t="n">
        <x:v>0.015</x:v>
      </x:c>
    </x:row>
    <x:row r="108">
      <x:c r="A108" s="17" t="n">
        <x:v>43175</x:v>
      </x:c>
      <x:c r="B108" s="20" t="n">
        <x:v>0.015</x:v>
      </x:c>
    </x:row>
    <x:row r="109">
      <x:c r="A109" s="17" t="n">
        <x:v>43176</x:v>
      </x:c>
      <x:c r="B109" s="20" t="n">
        <x:v>0.015</x:v>
      </x:c>
    </x:row>
    <x:row r="110">
      <x:c r="A110" s="17" t="n">
        <x:v>43177</x:v>
      </x:c>
      <x:c r="B110" s="20" t="n">
        <x:v>0.015</x:v>
      </x:c>
    </x:row>
    <x:row r="111">
      <x:c r="A111" s="17" t="n">
        <x:v>43178</x:v>
      </x:c>
      <x:c r="B111" s="20" t="n">
        <x:v>0.015</x:v>
      </x:c>
    </x:row>
    <x:row r="112">
      <x:c r="A112" s="17" t="n">
        <x:v>43179</x:v>
      </x:c>
      <x:c r="B112" s="20" t="n">
        <x:v>0.015</x:v>
      </x:c>
    </x:row>
    <x:row r="113">
      <x:c r="A113" s="17" t="n">
        <x:v>43180</x:v>
      </x:c>
      <x:c r="B113" s="20" t="n">
        <x:v>0.015</x:v>
      </x:c>
    </x:row>
    <x:row r="114">
      <x:c r="A114" s="17" t="n">
        <x:v>43181</x:v>
      </x:c>
      <x:c r="B114" s="20" t="n">
        <x:v>0.0175</x:v>
      </x:c>
    </x:row>
    <x:row r="115">
      <x:c r="A115" s="17" t="n">
        <x:v>43182</x:v>
      </x:c>
      <x:c r="B115" s="20" t="n">
        <x:v>0.0175</x:v>
      </x:c>
    </x:row>
    <x:row r="116">
      <x:c r="A116" s="17" t="n">
        <x:v>43183</x:v>
      </x:c>
      <x:c r="B116" s="20" t="n">
        <x:v>0.0175</x:v>
      </x:c>
    </x:row>
    <x:row r="117">
      <x:c r="A117" s="17" t="n">
        <x:v>43184</x:v>
      </x:c>
      <x:c r="B117" s="20" t="n">
        <x:v>0.0175</x:v>
      </x:c>
    </x:row>
    <x:row r="118">
      <x:c r="A118" s="17" t="n">
        <x:v>43185</x:v>
      </x:c>
      <x:c r="B118" s="20" t="n">
        <x:v>0.0175</x:v>
      </x:c>
    </x:row>
    <x:row r="119">
      <x:c r="A119" s="17" t="n">
        <x:v>43186</x:v>
      </x:c>
      <x:c r="B119" s="20" t="n">
        <x:v>0.0175</x:v>
      </x:c>
    </x:row>
    <x:row r="120">
      <x:c r="A120" s="17" t="n">
        <x:v>43187</x:v>
      </x:c>
      <x:c r="B120" s="20" t="n">
        <x:v>0.0175</x:v>
      </x:c>
    </x:row>
    <x:row r="121">
      <x:c r="A121" s="17" t="n">
        <x:v>43188</x:v>
      </x:c>
      <x:c r="B121" s="20" t="n">
        <x:v>0.0175</x:v>
      </x:c>
    </x:row>
    <x:row r="122">
      <x:c r="A122" s="17" t="n">
        <x:v>43189</x:v>
      </x:c>
      <x:c r="B122" s="20" t="n">
        <x:v>0.0175</x:v>
      </x:c>
    </x:row>
    <x:row r="123">
      <x:c r="A123" s="17" t="n">
        <x:v>43190</x:v>
      </x:c>
      <x:c r="B123" s="20" t="n">
        <x:v>0.0175</x:v>
      </x:c>
    </x:row>
    <x:row r="124">
      <x:c r="A124" s="17" t="n">
        <x:v>43191</x:v>
      </x:c>
      <x:c r="B124" s="20" t="n">
        <x:v>0.0175</x:v>
      </x:c>
    </x:row>
    <x:row r="125">
      <x:c r="A125" s="17" t="n">
        <x:v>43192</x:v>
      </x:c>
      <x:c r="B125" s="20" t="n">
        <x:v>0.0175</x:v>
      </x:c>
    </x:row>
    <x:row r="126">
      <x:c r="A126" s="17" t="n">
        <x:v>43193</x:v>
      </x:c>
      <x:c r="B126" s="20" t="n">
        <x:v>0.0175</x:v>
      </x:c>
    </x:row>
    <x:row r="127">
      <x:c r="A127" s="17" t="n">
        <x:v>43194</x:v>
      </x:c>
      <x:c r="B127" s="20" t="n">
        <x:v>0.0175</x:v>
      </x:c>
    </x:row>
    <x:row r="128">
      <x:c r="A128" s="17" t="n">
        <x:v>43195</x:v>
      </x:c>
      <x:c r="B128" s="20" t="n">
        <x:v>0.0175</x:v>
      </x:c>
    </x:row>
    <x:row r="129">
      <x:c r="A129" s="17" t="n">
        <x:v>43196</x:v>
      </x:c>
      <x:c r="B129" s="20" t="n">
        <x:v>0.0175</x:v>
      </x:c>
    </x:row>
    <x:row r="130">
      <x:c r="A130" s="17" t="n">
        <x:v>43197</x:v>
      </x:c>
      <x:c r="B130" s="20" t="n">
        <x:v>0.0175</x:v>
      </x:c>
    </x:row>
    <x:row r="131">
      <x:c r="A131" s="17" t="n">
        <x:v>43198</x:v>
      </x:c>
      <x:c r="B131" s="20" t="n">
        <x:v>0.0175</x:v>
      </x:c>
    </x:row>
    <x:row r="132">
      <x:c r="A132" s="17" t="n">
        <x:v>43199</x:v>
      </x:c>
      <x:c r="B132" s="20" t="n">
        <x:v>0.0175</x:v>
      </x:c>
    </x:row>
    <x:row r="133">
      <x:c r="A133" s="17" t="n">
        <x:v>43200</x:v>
      </x:c>
      <x:c r="B133" s="20" t="n">
        <x:v>0.0175</x:v>
      </x:c>
    </x:row>
    <x:row r="134">
      <x:c r="A134" s="17" t="n">
        <x:v>43201</x:v>
      </x:c>
      <x:c r="B134" s="20" t="n">
        <x:v>0.0175</x:v>
      </x:c>
    </x:row>
    <x:row r="135">
      <x:c r="A135" s="17" t="n">
        <x:v>43202</x:v>
      </x:c>
      <x:c r="B135" s="20" t="n">
        <x:v>0.0175</x:v>
      </x:c>
    </x:row>
    <x:row r="136">
      <x:c r="A136" s="17" t="n">
        <x:v>43203</x:v>
      </x:c>
      <x:c r="B136" s="20" t="n">
        <x:v>0.0175</x:v>
      </x:c>
    </x:row>
    <x:row r="137">
      <x:c r="A137" s="17" t="n">
        <x:v>43204</x:v>
      </x:c>
      <x:c r="B137" s="20" t="n">
        <x:v>0.0175</x:v>
      </x:c>
    </x:row>
    <x:row r="138">
      <x:c r="A138" s="17" t="n">
        <x:v>43205</x:v>
      </x:c>
      <x:c r="B138" s="20" t="n">
        <x:v>0.0175</x:v>
      </x:c>
    </x:row>
    <x:row r="139">
      <x:c r="A139" s="17" t="n">
        <x:v>43206</x:v>
      </x:c>
      <x:c r="B139" s="20" t="n">
        <x:v>0.0175</x:v>
      </x:c>
    </x:row>
    <x:row r="140">
      <x:c r="A140" s="17" t="n">
        <x:v>43207</x:v>
      </x:c>
      <x:c r="B140" s="20" t="n">
        <x:v>0.0175</x:v>
      </x:c>
    </x:row>
    <x:row r="141">
      <x:c r="A141" s="17" t="n">
        <x:v>43208</x:v>
      </x:c>
      <x:c r="B141" s="20" t="n">
        <x:v>0.0175</x:v>
      </x:c>
    </x:row>
    <x:row r="142">
      <x:c r="A142" s="17" t="n">
        <x:v>43209</x:v>
      </x:c>
      <x:c r="B142" s="20" t="n">
        <x:v>0.0175</x:v>
      </x:c>
    </x:row>
    <x:row r="143">
      <x:c r="A143" s="17" t="n">
        <x:v>43210</x:v>
      </x:c>
      <x:c r="B143" s="20" t="n">
        <x:v>0.0175</x:v>
      </x:c>
    </x:row>
    <x:row r="144">
      <x:c r="A144" s="17" t="n">
        <x:v>43211</x:v>
      </x:c>
      <x:c r="B144" s="20" t="n">
        <x:v>0.0175</x:v>
      </x:c>
    </x:row>
    <x:row r="145">
      <x:c r="A145" s="17" t="n">
        <x:v>43212</x:v>
      </x:c>
      <x:c r="B145" s="20" t="n">
        <x:v>0.0175</x:v>
      </x:c>
    </x:row>
    <x:row r="146">
      <x:c r="A146" s="17" t="n">
        <x:v>43213</x:v>
      </x:c>
      <x:c r="B146" s="20" t="n">
        <x:v>0.0175</x:v>
      </x:c>
    </x:row>
    <x:row r="147">
      <x:c r="A147" s="17" t="n">
        <x:v>43214</x:v>
      </x:c>
      <x:c r="B147" s="20" t="n">
        <x:v>0.0175</x:v>
      </x:c>
    </x:row>
    <x:row r="148">
      <x:c r="A148" s="17" t="n">
        <x:v>43215</x:v>
      </x:c>
      <x:c r="B148" s="20" t="n">
        <x:v>0.0175</x:v>
      </x:c>
    </x:row>
    <x:row r="149">
      <x:c r="A149" s="17" t="n">
        <x:v>43216</x:v>
      </x:c>
      <x:c r="B149" s="20" t="n">
        <x:v>0.0175</x:v>
      </x:c>
    </x:row>
    <x:row r="150">
      <x:c r="A150" s="17" t="n">
        <x:v>43217</x:v>
      </x:c>
      <x:c r="B150" s="20" t="n">
        <x:v>0.0175</x:v>
      </x:c>
    </x:row>
    <x:row r="151">
      <x:c r="A151" s="17" t="n">
        <x:v>43218</x:v>
      </x:c>
      <x:c r="B151" s="20" t="n">
        <x:v>0.0175</x:v>
      </x:c>
    </x:row>
    <x:row r="152">
      <x:c r="A152" s="17" t="n">
        <x:v>43219</x:v>
      </x:c>
      <x:c r="B152" s="20" t="n">
        <x:v>0.0175</x:v>
      </x:c>
    </x:row>
    <x:row r="153">
      <x:c r="A153" s="17" t="n">
        <x:v>43220</x:v>
      </x:c>
      <x:c r="B153" s="20" t="n">
        <x:v>0.0175</x:v>
      </x:c>
    </x:row>
    <x:row r="154">
      <x:c r="A154" s="17" t="n">
        <x:v>43221</x:v>
      </x:c>
      <x:c r="B154" s="20" t="n">
        <x:v>0.0175</x:v>
      </x:c>
    </x:row>
    <x:row r="155">
      <x:c r="A155" s="17" t="n">
        <x:v>43222</x:v>
      </x:c>
      <x:c r="B155" s="20" t="n">
        <x:v>0.0175</x:v>
      </x:c>
    </x:row>
    <x:row r="156">
      <x:c r="A156" s="17" t="n">
        <x:v>43223</x:v>
      </x:c>
      <x:c r="B156" s="20" t="n">
        <x:v>0.0175</x:v>
      </x:c>
    </x:row>
    <x:row r="157">
      <x:c r="A157" s="17" t="n">
        <x:v>43224</x:v>
      </x:c>
      <x:c r="B157" s="20" t="n">
        <x:v>0.0175</x:v>
      </x:c>
    </x:row>
    <x:row r="158">
      <x:c r="A158" s="17" t="n">
        <x:v>43225</x:v>
      </x:c>
      <x:c r="B158" s="20" t="n">
        <x:v>0.0175</x:v>
      </x:c>
    </x:row>
    <x:row r="159">
      <x:c r="A159" s="17" t="n">
        <x:v>43226</x:v>
      </x:c>
      <x:c r="B159" s="20" t="n">
        <x:v>0.0175</x:v>
      </x:c>
    </x:row>
    <x:row r="160">
      <x:c r="A160" s="17" t="n">
        <x:v>43227</x:v>
      </x:c>
      <x:c r="B160" s="20" t="n">
        <x:v>0.0175</x:v>
      </x:c>
    </x:row>
    <x:row r="161">
      <x:c r="A161" s="17" t="n">
        <x:v>43228</x:v>
      </x:c>
      <x:c r="B161" s="20" t="n">
        <x:v>0.0175</x:v>
      </x:c>
    </x:row>
    <x:row r="162">
      <x:c r="A162" s="17" t="n">
        <x:v>43229</x:v>
      </x:c>
      <x:c r="B162" s="20" t="n">
        <x:v>0.0175</x:v>
      </x:c>
    </x:row>
    <x:row r="163">
      <x:c r="A163" s="17" t="n">
        <x:v>43230</x:v>
      </x:c>
      <x:c r="B163" s="20" t="n">
        <x:v>0.0175</x:v>
      </x:c>
    </x:row>
    <x:row r="164">
      <x:c r="A164" s="17" t="n">
        <x:v>43231</x:v>
      </x:c>
      <x:c r="B164" s="20" t="n">
        <x:v>0.0175</x:v>
      </x:c>
    </x:row>
    <x:row r="165">
      <x:c r="A165" s="17" t="n">
        <x:v>43232</x:v>
      </x:c>
      <x:c r="B165" s="20" t="n">
        <x:v>0.0175</x:v>
      </x:c>
    </x:row>
    <x:row r="166">
      <x:c r="A166" s="17" t="n">
        <x:v>43233</x:v>
      </x:c>
      <x:c r="B166" s="20" t="n">
        <x:v>0.0175</x:v>
      </x:c>
    </x:row>
    <x:row r="167">
      <x:c r="A167" s="17" t="n">
        <x:v>43234</x:v>
      </x:c>
      <x:c r="B167" s="20" t="n">
        <x:v>0.0175</x:v>
      </x:c>
    </x:row>
    <x:row r="168">
      <x:c r="A168" s="17" t="n">
        <x:v>43235</x:v>
      </x:c>
      <x:c r="B168" s="20" t="n">
        <x:v>0.0175</x:v>
      </x:c>
    </x:row>
    <x:row r="169">
      <x:c r="A169" s="17" t="n">
        <x:v>43236</x:v>
      </x:c>
      <x:c r="B169" s="20" t="n">
        <x:v>0.0175</x:v>
      </x:c>
    </x:row>
    <x:row r="170">
      <x:c r="A170" s="17" t="n">
        <x:v>43237</x:v>
      </x:c>
      <x:c r="B170" s="20" t="n">
        <x:v>0.0175</x:v>
      </x:c>
    </x:row>
    <x:row r="171">
      <x:c r="A171" s="17" t="n">
        <x:v>43238</x:v>
      </x:c>
      <x:c r="B171" s="20" t="n">
        <x:v>0.0175</x:v>
      </x:c>
    </x:row>
    <x:row r="172">
      <x:c r="A172" s="17" t="n">
        <x:v>43239</x:v>
      </x:c>
      <x:c r="B172" s="20" t="n">
        <x:v>0.0175</x:v>
      </x:c>
    </x:row>
    <x:row r="173">
      <x:c r="A173" s="17" t="n">
        <x:v>43240</x:v>
      </x:c>
      <x:c r="B173" s="20" t="n">
        <x:v>0.0175</x:v>
      </x:c>
    </x:row>
    <x:row r="174">
      <x:c r="A174" s="17" t="n">
        <x:v>43241</x:v>
      </x:c>
      <x:c r="B174" s="20" t="n">
        <x:v>0.0175</x:v>
      </x:c>
    </x:row>
    <x:row r="175">
      <x:c r="A175" s="17" t="n">
        <x:v>43242</x:v>
      </x:c>
      <x:c r="B175" s="20" t="n">
        <x:v>0.0175</x:v>
      </x:c>
    </x:row>
    <x:row r="176">
      <x:c r="A176" s="17" t="n">
        <x:v>43243</x:v>
      </x:c>
      <x:c r="B176" s="20" t="n">
        <x:v>0.0175</x:v>
      </x:c>
    </x:row>
    <x:row r="177">
      <x:c r="A177" s="17" t="n">
        <x:v>43244</x:v>
      </x:c>
      <x:c r="B177" s="20" t="n">
        <x:v>0.0175</x:v>
      </x:c>
    </x:row>
    <x:row r="178">
      <x:c r="A178" s="17" t="n">
        <x:v>43245</x:v>
      </x:c>
      <x:c r="B178" s="20" t="n">
        <x:v>0.0175</x:v>
      </x:c>
    </x:row>
    <x:row r="179">
      <x:c r="A179" s="17" t="n">
        <x:v>43246</x:v>
      </x:c>
      <x:c r="B179" s="20" t="n">
        <x:v>0.0175</x:v>
      </x:c>
    </x:row>
    <x:row r="180">
      <x:c r="A180" s="17" t="n">
        <x:v>43247</x:v>
      </x:c>
      <x:c r="B180" s="20" t="n">
        <x:v>0.0175</x:v>
      </x:c>
    </x:row>
    <x:row r="181">
      <x:c r="A181" s="17" t="n">
        <x:v>43248</x:v>
      </x:c>
      <x:c r="B181" s="20" t="n">
        <x:v>0.0175</x:v>
      </x:c>
    </x:row>
    <x:row r="182">
      <x:c r="A182" s="17" t="n">
        <x:v>43249</x:v>
      </x:c>
      <x:c r="B182" s="20" t="n">
        <x:v>0.0175</x:v>
      </x:c>
    </x:row>
    <x:row r="183">
      <x:c r="A183" s="17" t="n">
        <x:v>43250</x:v>
      </x:c>
      <x:c r="B183" s="20" t="n">
        <x:v>0.0175</x:v>
      </x:c>
    </x:row>
    <x:row r="184">
      <x:c r="A184" s="17" t="n">
        <x:v>43251</x:v>
      </x:c>
      <x:c r="B184" s="20" t="n">
        <x:v>0.0175</x:v>
      </x:c>
    </x:row>
    <x:row r="185">
      <x:c r="A185" s="17" t="n">
        <x:v>43252</x:v>
      </x:c>
      <x:c r="B185" s="20" t="n">
        <x:v>0.0175</x:v>
      </x:c>
    </x:row>
    <x:row r="186">
      <x:c r="A186" s="17" t="n">
        <x:v>43253</x:v>
      </x:c>
      <x:c r="B186" s="20" t="n">
        <x:v>0.0175</x:v>
      </x:c>
    </x:row>
    <x:row r="187">
      <x:c r="A187" s="17" t="n">
        <x:v>43254</x:v>
      </x:c>
      <x:c r="B187" s="20" t="n">
        <x:v>0.0175</x:v>
      </x:c>
    </x:row>
    <x:row r="188">
      <x:c r="A188" s="17" t="n">
        <x:v>43255</x:v>
      </x:c>
      <x:c r="B188" s="20" t="n">
        <x:v>0.0175</x:v>
      </x:c>
    </x:row>
    <x:row r="189">
      <x:c r="A189" s="17" t="n">
        <x:v>43256</x:v>
      </x:c>
      <x:c r="B189" s="20" t="n">
        <x:v>0.0175</x:v>
      </x:c>
    </x:row>
    <x:row r="190">
      <x:c r="A190" s="17" t="n">
        <x:v>43257</x:v>
      </x:c>
      <x:c r="B190" s="20" t="n">
        <x:v>0.0175</x:v>
      </x:c>
    </x:row>
    <x:row r="191">
      <x:c r="A191" s="17" t="n">
        <x:v>43258</x:v>
      </x:c>
      <x:c r="B191" s="20" t="n">
        <x:v>0.0175</x:v>
      </x:c>
    </x:row>
    <x:row r="192">
      <x:c r="A192" s="17" t="n">
        <x:v>43259</x:v>
      </x:c>
      <x:c r="B192" s="20" t="n">
        <x:v>0.0175</x:v>
      </x:c>
    </x:row>
    <x:row r="193">
      <x:c r="A193" s="17" t="n">
        <x:v>43260</x:v>
      </x:c>
      <x:c r="B193" s="20" t="n">
        <x:v>0.0175</x:v>
      </x:c>
    </x:row>
    <x:row r="194">
      <x:c r="A194" s="17" t="n">
        <x:v>43261</x:v>
      </x:c>
      <x:c r="B194" s="20" t="n">
        <x:v>0.0175</x:v>
      </x:c>
    </x:row>
    <x:row r="195">
      <x:c r="A195" s="17" t="n">
        <x:v>43262</x:v>
      </x:c>
      <x:c r="B195" s="20" t="n">
        <x:v>0.0175</x:v>
      </x:c>
    </x:row>
    <x:row r="196">
      <x:c r="A196" s="17" t="n">
        <x:v>43263</x:v>
      </x:c>
      <x:c r="B196" s="20" t="n">
        <x:v>0.0175</x:v>
      </x:c>
    </x:row>
    <x:row r="197">
      <x:c r="A197" s="17" t="n">
        <x:v>43264</x:v>
      </x:c>
      <x:c r="B197" s="20" t="n">
        <x:v>0.0175</x:v>
      </x:c>
    </x:row>
    <x:row r="198">
      <x:c r="A198" s="17" t="n">
        <x:v>43265</x:v>
      </x:c>
      <x:c r="B198" s="20" t="n">
        <x:v>0.02</x:v>
      </x:c>
    </x:row>
    <x:row r="199">
      <x:c r="A199" s="17" t="n">
        <x:v>43266</x:v>
      </x:c>
      <x:c r="B199" s="20" t="n">
        <x:v>0.02</x:v>
      </x:c>
    </x:row>
    <x:row r="200">
      <x:c r="A200" s="17" t="n">
        <x:v>43267</x:v>
      </x:c>
      <x:c r="B200" s="20" t="n">
        <x:v>0.02</x:v>
      </x:c>
    </x:row>
    <x:row r="201">
      <x:c r="A201" s="17" t="n">
        <x:v>43268</x:v>
      </x:c>
      <x:c r="B201" s="20" t="n">
        <x:v>0.02</x:v>
      </x:c>
    </x:row>
    <x:row r="202">
      <x:c r="A202" s="17" t="n">
        <x:v>43269</x:v>
      </x:c>
      <x:c r="B202" s="20" t="n">
        <x:v>0.02</x:v>
      </x:c>
    </x:row>
    <x:row r="203">
      <x:c r="A203" s="17" t="n">
        <x:v>43270</x:v>
      </x:c>
      <x:c r="B203" s="20" t="n">
        <x:v>0.02</x:v>
      </x:c>
    </x:row>
    <x:row r="204">
      <x:c r="A204" s="17" t="n">
        <x:v>43271</x:v>
      </x:c>
      <x:c r="B204" s="20" t="n">
        <x:v>0.02</x:v>
      </x:c>
    </x:row>
    <x:row r="205">
      <x:c r="A205" s="17" t="n">
        <x:v>43272</x:v>
      </x:c>
      <x:c r="B205" s="20" t="n">
        <x:v>0.02</x:v>
      </x:c>
    </x:row>
    <x:row r="206">
      <x:c r="A206" s="17" t="n">
        <x:v>43273</x:v>
      </x:c>
      <x:c r="B206" s="20" t="n">
        <x:v>0.02</x:v>
      </x:c>
    </x:row>
    <x:row r="207">
      <x:c r="A207" s="17" t="n">
        <x:v>43274</x:v>
      </x:c>
      <x:c r="B207" s="20" t="n">
        <x:v>0.02</x:v>
      </x:c>
    </x:row>
    <x:row r="208">
      <x:c r="A208" s="17" t="n">
        <x:v>43275</x:v>
      </x:c>
      <x:c r="B208" s="20" t="n">
        <x:v>0.02</x:v>
      </x:c>
    </x:row>
    <x:row r="209">
      <x:c r="A209" s="17" t="n">
        <x:v>43276</x:v>
      </x:c>
      <x:c r="B209" s="20" t="n">
        <x:v>0.02</x:v>
      </x:c>
    </x:row>
    <x:row r="210">
      <x:c r="A210" s="17" t="n">
        <x:v>43277</x:v>
      </x:c>
      <x:c r="B210" s="20" t="n">
        <x:v>0.02</x:v>
      </x:c>
    </x:row>
    <x:row r="211">
      <x:c r="A211" s="17" t="n">
        <x:v>43278</x:v>
      </x:c>
      <x:c r="B211" s="20" t="n">
        <x:v>0.02</x:v>
      </x:c>
    </x:row>
    <x:row r="212">
      <x:c r="A212" s="17" t="n">
        <x:v>43279</x:v>
      </x:c>
      <x:c r="B212" s="20" t="n">
        <x:v>0.02</x:v>
      </x:c>
    </x:row>
    <x:row r="213">
      <x:c r="A213" s="17" t="n">
        <x:v>43280</x:v>
      </x:c>
      <x:c r="B213" s="20" t="n">
        <x:v>0.02</x:v>
      </x:c>
    </x:row>
    <x:row r="214">
      <x:c r="A214" s="17" t="n">
        <x:v>43281</x:v>
      </x:c>
      <x:c r="B214" s="20" t="n">
        <x:v>0.02</x:v>
      </x:c>
    </x:row>
    <x:row r="215">
      <x:c r="A215" s="17" t="n">
        <x:v>43282</x:v>
      </x:c>
      <x:c r="B215" s="20" t="n">
        <x:v>0.02</x:v>
      </x:c>
    </x:row>
    <x:row r="216">
      <x:c r="A216" s="17" t="n">
        <x:v>43283</x:v>
      </x:c>
      <x:c r="B216" s="20" t="n">
        <x:v>0.02</x:v>
      </x:c>
    </x:row>
    <x:row r="217">
      <x:c r="A217" s="17" t="n">
        <x:v>43284</x:v>
      </x:c>
      <x:c r="B217" s="20" t="n">
        <x:v>0.02</x:v>
      </x:c>
    </x:row>
    <x:row r="218">
      <x:c r="A218" s="17" t="n">
        <x:v>43285</x:v>
      </x:c>
      <x:c r="B218" s="20" t="n">
        <x:v>0.02</x:v>
      </x:c>
    </x:row>
    <x:row r="219">
      <x:c r="A219" s="17" t="n">
        <x:v>43286</x:v>
      </x:c>
      <x:c r="B219" s="20" t="n">
        <x:v>0.02</x:v>
      </x:c>
    </x:row>
    <x:row r="220">
      <x:c r="A220" s="17" t="n">
        <x:v>43287</x:v>
      </x:c>
      <x:c r="B220" s="20" t="n">
        <x:v>0.02</x:v>
      </x:c>
    </x:row>
    <x:row r="221">
      <x:c r="A221" s="17" t="n">
        <x:v>43288</x:v>
      </x:c>
      <x:c r="B221" s="20" t="n">
        <x:v>0.02</x:v>
      </x:c>
    </x:row>
    <x:row r="222">
      <x:c r="A222" s="17" t="n">
        <x:v>43289</x:v>
      </x:c>
      <x:c r="B222" s="20" t="n">
        <x:v>0.02</x:v>
      </x:c>
    </x:row>
    <x:row r="223">
      <x:c r="A223" s="17" t="n">
        <x:v>43290</x:v>
      </x:c>
      <x:c r="B223" s="20" t="n">
        <x:v>0.02</x:v>
      </x:c>
    </x:row>
    <x:row r="224">
      <x:c r="A224" s="17" t="n">
        <x:v>43291</x:v>
      </x:c>
      <x:c r="B224" s="20" t="n">
        <x:v>0.02</x:v>
      </x:c>
    </x:row>
    <x:row r="225">
      <x:c r="A225" s="17" t="n">
        <x:v>43292</x:v>
      </x:c>
      <x:c r="B225" s="20" t="n">
        <x:v>0.02</x:v>
      </x:c>
    </x:row>
    <x:row r="226">
      <x:c r="A226" s="17" t="n">
        <x:v>43293</x:v>
      </x:c>
      <x:c r="B226" s="20" t="n">
        <x:v>0.02</x:v>
      </x:c>
    </x:row>
    <x:row r="227">
      <x:c r="A227" s="17" t="n">
        <x:v>43294</x:v>
      </x:c>
      <x:c r="B227" s="20" t="n">
        <x:v>0.02</x:v>
      </x:c>
    </x:row>
    <x:row r="228">
      <x:c r="A228" s="17" t="n">
        <x:v>43295</x:v>
      </x:c>
      <x:c r="B228" s="20" t="n">
        <x:v>0.02</x:v>
      </x:c>
    </x:row>
    <x:row r="229">
      <x:c r="A229" s="17" t="n">
        <x:v>43296</x:v>
      </x:c>
      <x:c r="B229" s="20" t="n">
        <x:v>0.02</x:v>
      </x:c>
    </x:row>
    <x:row r="230">
      <x:c r="A230" s="17" t="n">
        <x:v>43297</x:v>
      </x:c>
      <x:c r="B230" s="20" t="n">
        <x:v>0.02</x:v>
      </x:c>
    </x:row>
    <x:row r="231">
      <x:c r="A231" s="17" t="n">
        <x:v>43298</x:v>
      </x:c>
      <x:c r="B231" s="20" t="n">
        <x:v>0.02</x:v>
      </x:c>
    </x:row>
    <x:row r="232">
      <x:c r="A232" s="17" t="n">
        <x:v>43299</x:v>
      </x:c>
      <x:c r="B232" s="20" t="n">
        <x:v>0.02</x:v>
      </x:c>
    </x:row>
    <x:row r="233">
      <x:c r="A233" s="17" t="n">
        <x:v>43300</x:v>
      </x:c>
      <x:c r="B233" s="20" t="n">
        <x:v>0.02</x:v>
      </x:c>
    </x:row>
    <x:row r="234">
      <x:c r="A234" s="17" t="n">
        <x:v>43301</x:v>
      </x:c>
      <x:c r="B234" s="20" t="n">
        <x:v>0.02</x:v>
      </x:c>
    </x:row>
    <x:row r="235">
      <x:c r="A235" s="17" t="n">
        <x:v>43302</x:v>
      </x:c>
      <x:c r="B235" s="20" t="n">
        <x:v>0.02</x:v>
      </x:c>
    </x:row>
    <x:row r="236">
      <x:c r="A236" s="17" t="n">
        <x:v>43303</x:v>
      </x:c>
      <x:c r="B236" s="20" t="n">
        <x:v>0.02</x:v>
      </x:c>
    </x:row>
    <x:row r="237">
      <x:c r="A237" s="17" t="n">
        <x:v>43304</x:v>
      </x:c>
      <x:c r="B237" s="20" t="n">
        <x:v>0.02</x:v>
      </x:c>
    </x:row>
    <x:row r="238">
      <x:c r="A238" s="17" t="n">
        <x:v>43305</x:v>
      </x:c>
      <x:c r="B238" s="20" t="n">
        <x:v>0.02</x:v>
      </x:c>
    </x:row>
    <x:row r="239">
      <x:c r="A239" s="17" t="n">
        <x:v>43306</x:v>
      </x:c>
      <x:c r="B239" s="20" t="n">
        <x:v>0.02</x:v>
      </x:c>
    </x:row>
    <x:row r="240">
      <x:c r="A240" s="17" t="n">
        <x:v>43307</x:v>
      </x:c>
      <x:c r="B240" s="20" t="n">
        <x:v>0.02</x:v>
      </x:c>
    </x:row>
    <x:row r="241">
      <x:c r="A241" s="17" t="n">
        <x:v>43308</x:v>
      </x:c>
      <x:c r="B241" s="20" t="n">
        <x:v>0.02</x:v>
      </x:c>
    </x:row>
    <x:row r="242">
      <x:c r="A242" s="17" t="n">
        <x:v>43309</x:v>
      </x:c>
      <x:c r="B242" s="20" t="n">
        <x:v>0.02</x:v>
      </x:c>
    </x:row>
    <x:row r="243">
      <x:c r="A243" s="17" t="n">
        <x:v>43310</x:v>
      </x:c>
      <x:c r="B243" s="20" t="n">
        <x:v>0.02</x:v>
      </x:c>
    </x:row>
    <x:row r="244">
      <x:c r="A244" s="17" t="n">
        <x:v>43311</x:v>
      </x:c>
      <x:c r="B244" s="20" t="n">
        <x:v>0.02</x:v>
      </x:c>
    </x:row>
    <x:row r="245">
      <x:c r="A245" s="17" t="n">
        <x:v>43312</x:v>
      </x:c>
      <x:c r="B245" s="20" t="n">
        <x:v>0.02</x:v>
      </x:c>
    </x:row>
    <x:row r="246">
      <x:c r="A246" s="17" t="n">
        <x:v>43313</x:v>
      </x:c>
      <x:c r="B246" s="20" t="n">
        <x:v>0.02</x:v>
      </x:c>
    </x:row>
    <x:row r="247">
      <x:c r="A247" s="17" t="n">
        <x:v>43314</x:v>
      </x:c>
      <x:c r="B247" s="20" t="n">
        <x:v>0.02</x:v>
      </x:c>
    </x:row>
    <x:row r="248">
      <x:c r="A248" s="17" t="n">
        <x:v>43315</x:v>
      </x:c>
      <x:c r="B248" s="20" t="n">
        <x:v>0.02</x:v>
      </x:c>
    </x:row>
    <x:row r="249">
      <x:c r="A249" s="17" t="n">
        <x:v>43316</x:v>
      </x:c>
      <x:c r="B249" s="20" t="n">
        <x:v>0.02</x:v>
      </x:c>
    </x:row>
    <x:row r="250">
      <x:c r="A250" s="17" t="n">
        <x:v>43317</x:v>
      </x:c>
      <x:c r="B250" s="20" t="n">
        <x:v>0.02</x:v>
      </x:c>
    </x:row>
    <x:row r="251">
      <x:c r="A251" s="17" t="n">
        <x:v>43318</x:v>
      </x:c>
      <x:c r="B251" s="20" t="n">
        <x:v>0.02</x:v>
      </x:c>
    </x:row>
    <x:row r="252">
      <x:c r="A252" s="17" t="n">
        <x:v>43319</x:v>
      </x:c>
      <x:c r="B252" s="20" t="n">
        <x:v>0.02</x:v>
      </x:c>
    </x:row>
    <x:row r="253">
      <x:c r="A253" s="17" t="n">
        <x:v>43320</x:v>
      </x:c>
      <x:c r="B253" s="20" t="n">
        <x:v>0.02</x:v>
      </x:c>
    </x:row>
    <x:row r="254">
      <x:c r="A254" s="17" t="n">
        <x:v>43321</x:v>
      </x:c>
      <x:c r="B254" s="20" t="n">
        <x:v>0.02</x:v>
      </x:c>
    </x:row>
    <x:row r="255">
      <x:c r="A255" s="17" t="n">
        <x:v>43322</x:v>
      </x:c>
      <x:c r="B255" s="20" t="n">
        <x:v>0.02</x:v>
      </x:c>
    </x:row>
    <x:row r="256">
      <x:c r="A256" s="17" t="n">
        <x:v>43323</x:v>
      </x:c>
      <x:c r="B256" s="20" t="n">
        <x:v>0.02</x:v>
      </x:c>
    </x:row>
    <x:row r="257">
      <x:c r="A257" s="17" t="n">
        <x:v>43324</x:v>
      </x:c>
      <x:c r="B257" s="20" t="n">
        <x:v>0.02</x:v>
      </x:c>
    </x:row>
    <x:row r="258">
      <x:c r="A258" s="17" t="n">
        <x:v>43325</x:v>
      </x:c>
      <x:c r="B258" s="20" t="n">
        <x:v>0.02</x:v>
      </x:c>
    </x:row>
    <x:row r="259">
      <x:c r="A259" s="17" t="n">
        <x:v>43326</x:v>
      </x:c>
      <x:c r="B259" s="20" t="n">
        <x:v>0.02</x:v>
      </x:c>
    </x:row>
    <x:row r="260">
      <x:c r="A260" s="17" t="n">
        <x:v>43327</x:v>
      </x:c>
      <x:c r="B260" s="20" t="n">
        <x:v>0.02</x:v>
      </x:c>
    </x:row>
    <x:row r="261">
      <x:c r="A261" s="17" t="n">
        <x:v>43328</x:v>
      </x:c>
      <x:c r="B261" s="20" t="n">
        <x:v>0.02</x:v>
      </x:c>
    </x:row>
    <x:row r="262">
      <x:c r="A262" s="17" t="n">
        <x:v>43329</x:v>
      </x:c>
      <x:c r="B262" s="20" t="n">
        <x:v>0.02</x:v>
      </x:c>
    </x:row>
    <x:row r="263">
      <x:c r="A263" s="17" t="n">
        <x:v>43330</x:v>
      </x:c>
      <x:c r="B263" s="20" t="n">
        <x:v>0.02</x:v>
      </x:c>
    </x:row>
    <x:row r="264">
      <x:c r="A264" s="17" t="n">
        <x:v>43331</x:v>
      </x:c>
      <x:c r="B264" s="20" t="n">
        <x:v>0.02</x:v>
      </x:c>
    </x:row>
    <x:row r="265">
      <x:c r="A265" s="17" t="n">
        <x:v>43332</x:v>
      </x:c>
      <x:c r="B265" s="20" t="n">
        <x:v>0.02</x:v>
      </x:c>
    </x:row>
    <x:row r="266">
      <x:c r="A266" s="17" t="n">
        <x:v>43333</x:v>
      </x:c>
      <x:c r="B266" s="20" t="n">
        <x:v>0.02</x:v>
      </x:c>
    </x:row>
    <x:row r="267">
      <x:c r="A267" s="17" t="n">
        <x:v>43334</x:v>
      </x:c>
      <x:c r="B267" s="20" t="n">
        <x:v>0.02</x:v>
      </x:c>
    </x:row>
    <x:row r="268">
      <x:c r="A268" s="17" t="n">
        <x:v>43335</x:v>
      </x:c>
      <x:c r="B268" s="20" t="n">
        <x:v>0.02</x:v>
      </x:c>
    </x:row>
    <x:row r="269">
      <x:c r="A269" s="17" t="n">
        <x:v>43336</x:v>
      </x:c>
      <x:c r="B269" s="20" t="n">
        <x:v>0.02</x:v>
      </x:c>
    </x:row>
    <x:row r="270">
      <x:c r="A270" s="17" t="n">
        <x:v>43337</x:v>
      </x:c>
      <x:c r="B270" s="20" t="n">
        <x:v>0.02</x:v>
      </x:c>
    </x:row>
    <x:row r="271">
      <x:c r="A271" s="17" t="n">
        <x:v>43338</x:v>
      </x:c>
      <x:c r="B271" s="20" t="n">
        <x:v>0.02</x:v>
      </x:c>
    </x:row>
    <x:row r="272">
      <x:c r="A272" s="17" t="n">
        <x:v>43339</x:v>
      </x:c>
      <x:c r="B272" s="20" t="n">
        <x:v>0.02</x:v>
      </x:c>
    </x:row>
    <x:row r="273">
      <x:c r="A273" s="17" t="n">
        <x:v>43340</x:v>
      </x:c>
      <x:c r="B273" s="20" t="n">
        <x:v>0.02</x:v>
      </x:c>
    </x:row>
    <x:row r="274">
      <x:c r="A274" s="17" t="n">
        <x:v>43341</x:v>
      </x:c>
      <x:c r="B274" s="20" t="n">
        <x:v>0.02</x:v>
      </x:c>
    </x:row>
    <x:row r="275">
      <x:c r="A275" s="17" t="n">
        <x:v>43342</x:v>
      </x:c>
      <x:c r="B275" s="20" t="n">
        <x:v>0.02</x:v>
      </x:c>
    </x:row>
    <x:row r="276">
      <x:c r="A276" s="17" t="n">
        <x:v>43343</x:v>
      </x:c>
      <x:c r="B276" s="20" t="n">
        <x:v>0.02</x:v>
      </x:c>
    </x:row>
    <x:row r="277">
      <x:c r="A277" s="17" t="n">
        <x:v>43344</x:v>
      </x:c>
      <x:c r="B277" s="20" t="n">
        <x:v>0.02</x:v>
      </x:c>
    </x:row>
    <x:row r="278">
      <x:c r="A278" s="17" t="n">
        <x:v>43345</x:v>
      </x:c>
      <x:c r="B278" s="20" t="n">
        <x:v>0.02</x:v>
      </x:c>
    </x:row>
    <x:row r="279">
      <x:c r="A279" s="17" t="n">
        <x:v>43346</x:v>
      </x:c>
      <x:c r="B279" s="20" t="n">
        <x:v>0.02</x:v>
      </x:c>
    </x:row>
    <x:row r="280">
      <x:c r="A280" s="17" t="n">
        <x:v>43347</x:v>
      </x:c>
      <x:c r="B280" s="20" t="n">
        <x:v>0.02</x:v>
      </x:c>
    </x:row>
    <x:row r="281">
      <x:c r="A281" s="17" t="n">
        <x:v>43348</x:v>
      </x:c>
      <x:c r="B281" s="20" t="n">
        <x:v>0.02</x:v>
      </x:c>
    </x:row>
    <x:row r="282">
      <x:c r="A282" s="17" t="n">
        <x:v>43349</x:v>
      </x:c>
      <x:c r="B282" s="20" t="n">
        <x:v>0.02</x:v>
      </x:c>
    </x:row>
    <x:row r="283">
      <x:c r="A283" s="17" t="n">
        <x:v>43350</x:v>
      </x:c>
      <x:c r="B283" s="20" t="n">
        <x:v>0.02</x:v>
      </x:c>
    </x:row>
    <x:row r="284">
      <x:c r="A284" s="17" t="n">
        <x:v>43351</x:v>
      </x:c>
      <x:c r="B284" s="20" t="n">
        <x:v>0.02</x:v>
      </x:c>
    </x:row>
    <x:row r="285">
      <x:c r="A285" s="17" t="n">
        <x:v>43352</x:v>
      </x:c>
      <x:c r="B285" s="20" t="n">
        <x:v>0.02</x:v>
      </x:c>
    </x:row>
    <x:row r="286">
      <x:c r="A286" s="17" t="n">
        <x:v>43353</x:v>
      </x:c>
      <x:c r="B286" s="20" t="n">
        <x:v>0.02</x:v>
      </x:c>
    </x:row>
    <x:row r="287">
      <x:c r="A287" s="17" t="n">
        <x:v>43354</x:v>
      </x:c>
      <x:c r="B287" s="20" t="n">
        <x:v>0.02</x:v>
      </x:c>
    </x:row>
    <x:row r="288">
      <x:c r="A288" s="17" t="n">
        <x:v>43355</x:v>
      </x:c>
      <x:c r="B288" s="20" t="n">
        <x:v>0.02</x:v>
      </x:c>
    </x:row>
    <x:row r="289">
      <x:c r="A289" s="17" t="n">
        <x:v>43356</x:v>
      </x:c>
      <x:c r="B289" s="20" t="n">
        <x:v>0.02</x:v>
      </x:c>
    </x:row>
    <x:row r="290">
      <x:c r="A290" s="17" t="n">
        <x:v>43357</x:v>
      </x:c>
      <x:c r="B290" s="20" t="n">
        <x:v>0.02</x:v>
      </x:c>
    </x:row>
    <x:row r="291">
      <x:c r="A291" s="17" t="n">
        <x:v>43358</x:v>
      </x:c>
      <x:c r="B291" s="20" t="n">
        <x:v>0.02</x:v>
      </x:c>
    </x:row>
    <x:row r="292">
      <x:c r="A292" s="17" t="n">
        <x:v>43359</x:v>
      </x:c>
      <x:c r="B292" s="20" t="n">
        <x:v>0.02</x:v>
      </x:c>
    </x:row>
    <x:row r="293">
      <x:c r="A293" s="17" t="n">
        <x:v>43360</x:v>
      </x:c>
      <x:c r="B293" s="20" t="n">
        <x:v>0.02</x:v>
      </x:c>
    </x:row>
    <x:row r="294">
      <x:c r="A294" s="17" t="n">
        <x:v>43361</x:v>
      </x:c>
      <x:c r="B294" s="20" t="n">
        <x:v>0.02</x:v>
      </x:c>
    </x:row>
    <x:row r="295">
      <x:c r="A295" s="17" t="n">
        <x:v>43362</x:v>
      </x:c>
      <x:c r="B295" s="20" t="n">
        <x:v>0.02</x:v>
      </x:c>
    </x:row>
    <x:row r="296">
      <x:c r="A296" s="17" t="n">
        <x:v>43363</x:v>
      </x:c>
      <x:c r="B296" s="20" t="n">
        <x:v>0.02</x:v>
      </x:c>
    </x:row>
    <x:row r="297">
      <x:c r="A297" s="17" t="n">
        <x:v>43364</x:v>
      </x:c>
      <x:c r="B297" s="20" t="n">
        <x:v>0.02</x:v>
      </x:c>
    </x:row>
    <x:row r="298">
      <x:c r="A298" s="17" t="n">
        <x:v>43365</x:v>
      </x:c>
      <x:c r="B298" s="20" t="n">
        <x:v>0.02</x:v>
      </x:c>
    </x:row>
    <x:row r="299">
      <x:c r="A299" s="17" t="n">
        <x:v>43366</x:v>
      </x:c>
      <x:c r="B299" s="20" t="n">
        <x:v>0.02</x:v>
      </x:c>
    </x:row>
    <x:row r="300">
      <x:c r="A300" s="17" t="n">
        <x:v>43367</x:v>
      </x:c>
      <x:c r="B300" s="20" t="n">
        <x:v>0.02</x:v>
      </x:c>
    </x:row>
    <x:row r="301">
      <x:c r="A301" s="17" t="n">
        <x:v>43368</x:v>
      </x:c>
      <x:c r="B301" s="20" t="n">
        <x:v>0.02</x:v>
      </x:c>
    </x:row>
    <x:row r="302">
      <x:c r="A302" s="17" t="n">
        <x:v>43369</x:v>
      </x:c>
      <x:c r="B302" s="20" t="n">
        <x:v>0.02</x:v>
      </x:c>
    </x:row>
    <x:row r="303">
      <x:c r="A303" s="17" t="n">
        <x:v>43370</x:v>
      </x:c>
      <x:c r="B303" s="20" t="n">
        <x:v>0.0225</x:v>
      </x:c>
    </x:row>
    <x:row r="304">
      <x:c r="A304" s="17" t="n">
        <x:v>43371</x:v>
      </x:c>
      <x:c r="B304" s="20" t="n">
        <x:v>0.0225</x:v>
      </x:c>
    </x:row>
    <x:row r="305">
      <x:c r="A305" s="17" t="n">
        <x:v>43372</x:v>
      </x:c>
      <x:c r="B305" s="20" t="n">
        <x:v>0.0225</x:v>
      </x:c>
    </x:row>
    <x:row r="306">
      <x:c r="A306" s="17" t="n">
        <x:v>43373</x:v>
      </x:c>
      <x:c r="B306" s="20" t="n">
        <x:v>0.0225</x:v>
      </x:c>
    </x:row>
    <x:row r="307">
      <x:c r="A307" s="17" t="n">
        <x:v>43374</x:v>
      </x:c>
      <x:c r="B307" s="20" t="n">
        <x:v>0.0225</x:v>
      </x:c>
    </x:row>
    <x:row r="308">
      <x:c r="A308" s="17" t="n">
        <x:v>43375</x:v>
      </x:c>
      <x:c r="B308" s="20" t="n">
        <x:v>0.0225</x:v>
      </x:c>
    </x:row>
    <x:row r="309">
      <x:c r="A309" s="17" t="n">
        <x:v>43376</x:v>
      </x:c>
      <x:c r="B309" s="20" t="n">
        <x:v>0.0225</x:v>
      </x:c>
    </x:row>
    <x:row r="310">
      <x:c r="A310" s="17" t="n">
        <x:v>43377</x:v>
      </x:c>
      <x:c r="B310" s="20" t="n">
        <x:v>0.0225</x:v>
      </x:c>
    </x:row>
    <x:row r="311">
      <x:c r="A311" s="17" t="n">
        <x:v>43378</x:v>
      </x:c>
      <x:c r="B311" s="20" t="n">
        <x:v>0.0225</x:v>
      </x:c>
    </x:row>
    <x:row r="312">
      <x:c r="A312" s="17" t="n">
        <x:v>43379</x:v>
      </x:c>
      <x:c r="B312" s="20" t="n">
        <x:v>0.0225</x:v>
      </x:c>
    </x:row>
    <x:row r="313">
      <x:c r="A313" s="17" t="n">
        <x:v>43380</x:v>
      </x:c>
      <x:c r="B313" s="20" t="n">
        <x:v>0.0225</x:v>
      </x:c>
    </x:row>
    <x:row r="314">
      <x:c r="A314" s="17" t="n">
        <x:v>43381</x:v>
      </x:c>
      <x:c r="B314" s="20" t="n">
        <x:v>0.0225</x:v>
      </x:c>
    </x:row>
    <x:row r="315">
      <x:c r="A315" s="17" t="n">
        <x:v>43382</x:v>
      </x:c>
      <x:c r="B315" s="20" t="n">
        <x:v>0.0225</x:v>
      </x:c>
    </x:row>
    <x:row r="316">
      <x:c r="A316" s="17" t="n">
        <x:v>43383</x:v>
      </x:c>
      <x:c r="B316" s="20" t="n">
        <x:v>0.0225</x:v>
      </x:c>
    </x:row>
    <x:row r="317">
      <x:c r="A317" s="17" t="n">
        <x:v>43384</x:v>
      </x:c>
      <x:c r="B317" s="20" t="n">
        <x:v>0.0225</x:v>
      </x:c>
    </x:row>
    <x:row r="318">
      <x:c r="A318" s="17" t="n">
        <x:v>43385</x:v>
      </x:c>
      <x:c r="B318" s="20" t="n">
        <x:v>0.0225</x:v>
      </x:c>
    </x:row>
    <x:row r="319">
      <x:c r="A319" s="17" t="n">
        <x:v>43386</x:v>
      </x:c>
      <x:c r="B319" s="20" t="n">
        <x:v>0.0225</x:v>
      </x:c>
    </x:row>
    <x:row r="320">
      <x:c r="A320" s="17" t="n">
        <x:v>43387</x:v>
      </x:c>
      <x:c r="B320" s="20" t="n">
        <x:v>0.0225</x:v>
      </x:c>
    </x:row>
    <x:row r="321">
      <x:c r="A321" s="17" t="n">
        <x:v>43388</x:v>
      </x:c>
      <x:c r="B321" s="20" t="n">
        <x:v>0.0225</x:v>
      </x:c>
    </x:row>
    <x:row r="322">
      <x:c r="A322" s="17" t="n">
        <x:v>43389</x:v>
      </x:c>
      <x:c r="B322" s="20" t="n">
        <x:v>0.0225</x:v>
      </x:c>
    </x:row>
    <x:row r="323">
      <x:c r="A323" s="17" t="n">
        <x:v>43390</x:v>
      </x:c>
      <x:c r="B323" s="20" t="n">
        <x:v>0.0225</x:v>
      </x:c>
    </x:row>
    <x:row r="324">
      <x:c r="A324" s="17" t="n">
        <x:v>43391</x:v>
      </x:c>
      <x:c r="B324" s="20" t="n">
        <x:v>0.0225</x:v>
      </x:c>
    </x:row>
    <x:row r="325">
      <x:c r="A325" s="17" t="n">
        <x:v>43392</x:v>
      </x:c>
      <x:c r="B325" s="20" t="n">
        <x:v>0.0225</x:v>
      </x:c>
    </x:row>
    <x:row r="326">
      <x:c r="A326" s="17" t="n">
        <x:v>43393</x:v>
      </x:c>
      <x:c r="B326" s="20" t="n">
        <x:v>0.0225</x:v>
      </x:c>
    </x:row>
    <x:row r="327">
      <x:c r="A327" s="17" t="n">
        <x:v>43394</x:v>
      </x:c>
      <x:c r="B327" s="20" t="n">
        <x:v>0.0225</x:v>
      </x:c>
    </x:row>
    <x:row r="328">
      <x:c r="A328" s="17" t="n">
        <x:v>43395</x:v>
      </x:c>
      <x:c r="B328" s="20" t="n">
        <x:v>0.0225</x:v>
      </x:c>
    </x:row>
    <x:row r="329">
      <x:c r="A329" s="17" t="n">
        <x:v>43396</x:v>
      </x:c>
      <x:c r="B329" s="20" t="n">
        <x:v>0.0225</x:v>
      </x:c>
    </x:row>
    <x:row r="330">
      <x:c r="A330" s="17" t="n">
        <x:v>43397</x:v>
      </x:c>
      <x:c r="B330" s="20" t="n">
        <x:v>0.0225</x:v>
      </x:c>
    </x:row>
    <x:row r="331">
      <x:c r="A331" s="17" t="n">
        <x:v>43398</x:v>
      </x:c>
      <x:c r="B331" s="20" t="n">
        <x:v>0.0225</x:v>
      </x:c>
    </x:row>
    <x:row r="332">
      <x:c r="A332" s="17" t="n">
        <x:v>43399</x:v>
      </x:c>
      <x:c r="B332" s="20" t="n">
        <x:v>0.0225</x:v>
      </x:c>
    </x:row>
    <x:row r="333">
      <x:c r="A333" s="17" t="n">
        <x:v>43400</x:v>
      </x:c>
      <x:c r="B333" s="20" t="n">
        <x:v>0.0225</x:v>
      </x:c>
    </x:row>
    <x:row r="334">
      <x:c r="A334" s="17" t="n">
        <x:v>43401</x:v>
      </x:c>
      <x:c r="B334" s="20" t="n">
        <x:v>0.0225</x:v>
      </x:c>
    </x:row>
    <x:row r="335">
      <x:c r="A335" s="17" t="n">
        <x:v>43402</x:v>
      </x:c>
      <x:c r="B335" s="20" t="n">
        <x:v>0.0225</x:v>
      </x:c>
    </x:row>
    <x:row r="336">
      <x:c r="A336" s="17" t="n">
        <x:v>43403</x:v>
      </x:c>
      <x:c r="B336" s="20" t="n">
        <x:v>0.0225</x:v>
      </x:c>
    </x:row>
    <x:row r="337">
      <x:c r="A337" s="17" t="n">
        <x:v>43404</x:v>
      </x:c>
      <x:c r="B337" s="20" t="n">
        <x:v>0.0225</x:v>
      </x:c>
    </x:row>
    <x:row r="338">
      <x:c r="A338" s="17" t="n">
        <x:v>43405</x:v>
      </x:c>
      <x:c r="B338" s="20" t="n">
        <x:v>0.0225</x:v>
      </x:c>
    </x:row>
    <x:row r="339">
      <x:c r="A339" s="17" t="n">
        <x:v>43406</x:v>
      </x:c>
      <x:c r="B339" s="20" t="n">
        <x:v>0.0225</x:v>
      </x:c>
    </x:row>
    <x:row r="340">
      <x:c r="A340" s="17" t="n">
        <x:v>43407</x:v>
      </x:c>
      <x:c r="B340" s="20" t="n">
        <x:v>0.0225</x:v>
      </x:c>
    </x:row>
    <x:row r="341">
      <x:c r="A341" s="17" t="n">
        <x:v>43408</x:v>
      </x:c>
      <x:c r="B341" s="20" t="n">
        <x:v>0.0225</x:v>
      </x:c>
    </x:row>
    <x:row r="342">
      <x:c r="A342" s="17" t="n">
        <x:v>43409</x:v>
      </x:c>
      <x:c r="B342" s="20" t="n">
        <x:v>0.0225</x:v>
      </x:c>
    </x:row>
    <x:row r="343">
      <x:c r="A343" s="17" t="n">
        <x:v>43410</x:v>
      </x:c>
      <x:c r="B343" s="20" t="n">
        <x:v>0.0225</x:v>
      </x:c>
    </x:row>
    <x:row r="344">
      <x:c r="A344" s="17" t="n">
        <x:v>43411</x:v>
      </x:c>
      <x:c r="B344" s="20" t="n">
        <x:v>0.0225</x:v>
      </x:c>
    </x:row>
    <x:row r="345">
      <x:c r="A345" s="17" t="n">
        <x:v>43412</x:v>
      </x:c>
      <x:c r="B345" s="20" t="n">
        <x:v>0.0225</x:v>
      </x:c>
    </x:row>
    <x:row r="346">
      <x:c r="A346" s="17" t="n">
        <x:v>43413</x:v>
      </x:c>
      <x:c r="B346" s="20" t="n">
        <x:v>0.0225</x:v>
      </x:c>
    </x:row>
    <x:row r="347">
      <x:c r="A347" s="17" t="n">
        <x:v>43414</x:v>
      </x:c>
      <x:c r="B347" s="20" t="n">
        <x:v>0.0225</x:v>
      </x:c>
    </x:row>
    <x:row r="348">
      <x:c r="A348" s="17" t="n">
        <x:v>43415</x:v>
      </x:c>
      <x:c r="B348" s="20" t="n">
        <x:v>0.0225</x:v>
      </x:c>
    </x:row>
    <x:row r="349">
      <x:c r="A349" s="17" t="n">
        <x:v>43416</x:v>
      </x:c>
      <x:c r="B349" s="20" t="n">
        <x:v>0.0225</x:v>
      </x:c>
    </x:row>
    <x:row r="350">
      <x:c r="A350" s="17" t="n">
        <x:v>43417</x:v>
      </x:c>
      <x:c r="B350" s="20" t="n">
        <x:v>0.0225</x:v>
      </x:c>
    </x:row>
    <x:row r="351">
      <x:c r="A351" s="17" t="n">
        <x:v>43418</x:v>
      </x:c>
      <x:c r="B351" s="20" t="n">
        <x:v>0.0225</x:v>
      </x:c>
    </x:row>
    <x:row r="352">
      <x:c r="A352" s="17" t="n">
        <x:v>43419</x:v>
      </x:c>
      <x:c r="B352" s="20" t="n">
        <x:v>0.0225</x:v>
      </x:c>
    </x:row>
    <x:row r="353">
      <x:c r="A353" s="17" t="n">
        <x:v>43420</x:v>
      </x:c>
      <x:c r="B353" s="20" t="n">
        <x:v>0.0225</x:v>
      </x:c>
    </x:row>
    <x:row r="354">
      <x:c r="A354" s="17" t="n">
        <x:v>43421</x:v>
      </x:c>
      <x:c r="B354" s="20" t="n">
        <x:v>0.0225</x:v>
      </x:c>
    </x:row>
    <x:row r="355">
      <x:c r="A355" s="17" t="n">
        <x:v>43422</x:v>
      </x:c>
      <x:c r="B355" s="20" t="n">
        <x:v>0.0225</x:v>
      </x:c>
    </x:row>
    <x:row r="356">
      <x:c r="A356" s="17" t="n">
        <x:v>43423</x:v>
      </x:c>
      <x:c r="B356" s="20" t="n">
        <x:v>0.0225</x:v>
      </x:c>
    </x:row>
    <x:row r="357">
      <x:c r="A357" s="17" t="n">
        <x:v>43424</x:v>
      </x:c>
      <x:c r="B357" s="20" t="n">
        <x:v>0.0225</x:v>
      </x:c>
    </x:row>
    <x:row r="358">
      <x:c r="A358" s="17" t="n">
        <x:v>43425</x:v>
      </x:c>
      <x:c r="B358" s="20" t="n">
        <x:v>0.0225</x:v>
      </x:c>
    </x:row>
    <x:row r="359">
      <x:c r="A359" s="17" t="n">
        <x:v>43426</x:v>
      </x:c>
      <x:c r="B359" s="20" t="n">
        <x:v>0.0225</x:v>
      </x:c>
    </x:row>
    <x:row r="360">
      <x:c r="A360" s="17" t="n">
        <x:v>43427</x:v>
      </x:c>
      <x:c r="B360" s="20" t="n">
        <x:v>0.0225</x:v>
      </x:c>
    </x:row>
    <x:row r="361">
      <x:c r="A361" s="17" t="n">
        <x:v>43428</x:v>
      </x:c>
      <x:c r="B361" s="20" t="n">
        <x:v>0.0225</x:v>
      </x:c>
    </x:row>
    <x:row r="362">
      <x:c r="A362" s="17" t="n">
        <x:v>43429</x:v>
      </x:c>
      <x:c r="B362" s="20" t="n">
        <x:v>0.0225</x:v>
      </x:c>
    </x:row>
    <x:row r="363">
      <x:c r="A363" s="17" t="n">
        <x:v>43430</x:v>
      </x:c>
      <x:c r="B363" s="20" t="n">
        <x:v>0.0225</x:v>
      </x:c>
    </x:row>
    <x:row r="364">
      <x:c r="A364" s="17" t="n">
        <x:v>43431</x:v>
      </x:c>
      <x:c r="B364" s="20" t="n">
        <x:v>0.0225</x:v>
      </x:c>
    </x:row>
    <x:row r="365">
      <x:c r="A365" s="17" t="n">
        <x:v>43432</x:v>
      </x:c>
      <x:c r="B365" s="20" t="n">
        <x:v>0.0225</x:v>
      </x:c>
    </x:row>
    <x:row r="366">
      <x:c r="A366" s="17" t="n">
        <x:v>43433</x:v>
      </x:c>
      <x:c r="B366" s="20" t="n">
        <x:v>0.0225</x:v>
      </x:c>
    </x:row>
    <x:row r="367">
      <x:c r="A367" s="17" t="n">
        <x:v>43434</x:v>
      </x:c>
      <x:c r="B367" s="20" t="n">
        <x:v>0.0225</x:v>
      </x:c>
    </x:row>
    <x:row r="368">
      <x:c r="A368" s="17" t="n">
        <x:v>43435</x:v>
      </x:c>
      <x:c r="B368" s="20" t="n">
        <x:v>0.0225</x:v>
      </x:c>
    </x:row>
    <x:row r="369">
      <x:c r="A369" s="17" t="n">
        <x:v>43436</x:v>
      </x:c>
      <x:c r="B369" s="20" t="n">
        <x:v>0.0225</x:v>
      </x:c>
    </x:row>
    <x:row r="370">
      <x:c r="A370" s="17" t="n">
        <x:v>43437</x:v>
      </x:c>
      <x:c r="B370" s="20" t="n">
        <x:v>0.0225</x:v>
      </x:c>
    </x:row>
    <x:row r="371">
      <x:c r="A371" s="17" t="n">
        <x:v>43438</x:v>
      </x:c>
      <x:c r="B371" s="20" t="n">
        <x:v>0.0225</x:v>
      </x:c>
    </x:row>
    <x:row r="372">
      <x:c r="A372" s="17" t="n">
        <x:v>43439</x:v>
      </x:c>
      <x:c r="B372" s="20" t="n">
        <x:v>0.0225</x:v>
      </x:c>
    </x:row>
    <x:row r="373">
      <x:c r="A373" s="17" t="n">
        <x:v>43440</x:v>
      </x:c>
      <x:c r="B373" s="20" t="n">
        <x:v>0.0225</x:v>
      </x:c>
    </x:row>
    <x:row r="374">
      <x:c r="A374" s="17" t="n">
        <x:v>43441</x:v>
      </x:c>
      <x:c r="B374" s="20" t="n">
        <x:v>0.0225</x:v>
      </x:c>
    </x:row>
    <x:row r="375">
      <x:c r="A375" s="17" t="n">
        <x:v>43442</x:v>
      </x:c>
      <x:c r="B375" s="20" t="n">
        <x:v>0.0225</x:v>
      </x:c>
    </x:row>
    <x:row r="376">
      <x:c r="A376" s="17" t="n">
        <x:v>43443</x:v>
      </x:c>
      <x:c r="B376" s="20" t="n">
        <x:v>0.0225</x:v>
      </x:c>
    </x:row>
    <x:row r="377">
      <x:c r="A377" s="17" t="n">
        <x:v>43444</x:v>
      </x:c>
      <x:c r="B377" s="20" t="n">
        <x:v>0.0225</x:v>
      </x:c>
    </x:row>
    <x:row r="378">
      <x:c r="A378" s="17" t="n">
        <x:v>43445</x:v>
      </x:c>
      <x:c r="B378" s="20" t="n">
        <x:v>0.0225</x:v>
      </x:c>
    </x:row>
    <x:row r="379">
      <x:c r="A379" s="17" t="n">
        <x:v>43446</x:v>
      </x:c>
      <x:c r="B379" s="20" t="n">
        <x:v>0.0225</x:v>
      </x:c>
    </x:row>
    <x:row r="380">
      <x:c r="A380" s="17" t="n">
        <x:v>43447</x:v>
      </x:c>
      <x:c r="B380" s="20" t="n">
        <x:v>0.0225</x:v>
      </x:c>
    </x:row>
    <x:row r="381">
      <x:c r="A381" s="17" t="n">
        <x:v>43448</x:v>
      </x:c>
      <x:c r="B381" s="20" t="n">
        <x:v>0.0225</x:v>
      </x:c>
    </x:row>
    <x:row r="382">
      <x:c r="A382" s="17" t="n">
        <x:v>43449</x:v>
      </x:c>
      <x:c r="B382" s="20" t="n">
        <x:v>0.0225</x:v>
      </x:c>
    </x:row>
    <x:row r="383">
      <x:c r="A383" s="17" t="n">
        <x:v>43450</x:v>
      </x:c>
      <x:c r="B383" s="20" t="n">
        <x:v>0.0225</x:v>
      </x:c>
    </x:row>
    <x:row r="384">
      <x:c r="A384" s="17" t="n">
        <x:v>43451</x:v>
      </x:c>
      <x:c r="B384" s="20" t="n">
        <x:v>0.0225</x:v>
      </x:c>
    </x:row>
    <x:row r="385">
      <x:c r="A385" s="17" t="n">
        <x:v>43452</x:v>
      </x:c>
      <x:c r="B385" s="20" t="n">
        <x:v>0.0225</x:v>
      </x:c>
    </x:row>
    <x:row r="386">
      <x:c r="A386" s="17" t="n">
        <x:v>43453</x:v>
      </x:c>
      <x:c r="B386" s="20" t="n">
        <x:v>0.0225</x:v>
      </x:c>
    </x:row>
    <x:row r="387">
      <x:c r="A387" s="17" t="n">
        <x:v>43454</x:v>
      </x:c>
      <x:c r="B387" s="20" t="n">
        <x:v>0.025</x:v>
      </x:c>
    </x:row>
    <x:row r="388">
      <x:c r="A388" s="17" t="n">
        <x:v>43455</x:v>
      </x:c>
      <x:c r="B388" s="20" t="n">
        <x:v>0.025</x:v>
      </x:c>
    </x:row>
    <x:row r="389">
      <x:c r="A389" s="17" t="n">
        <x:v>43456</x:v>
      </x:c>
      <x:c r="B389" s="20" t="n">
        <x:v>0.025</x:v>
      </x:c>
    </x:row>
    <x:row r="390">
      <x:c r="A390" s="17" t="n">
        <x:v>43457</x:v>
      </x:c>
      <x:c r="B390" s="20" t="n">
        <x:v>0.025</x:v>
      </x:c>
    </x:row>
    <x:row r="391">
      <x:c r="A391" s="17" t="n">
        <x:v>43458</x:v>
      </x:c>
      <x:c r="B391" s="20" t="n">
        <x:v>0.025</x:v>
      </x:c>
    </x:row>
    <x:row r="392">
      <x:c r="A392" s="17" t="n">
        <x:v>43459</x:v>
      </x:c>
      <x:c r="B392" s="20" t="n">
        <x:v>0.025</x:v>
      </x:c>
    </x:row>
    <x:row r="393">
      <x:c r="A393" s="17" t="n">
        <x:v>43460</x:v>
      </x:c>
      <x:c r="B393" s="20" t="n">
        <x:v>0.025</x:v>
      </x:c>
    </x:row>
    <x:row r="394">
      <x:c r="A394" s="17" t="n">
        <x:v>43461</x:v>
      </x:c>
      <x:c r="B394" s="20" t="n">
        <x:v>0.025</x:v>
      </x:c>
    </x:row>
    <x:row r="395">
      <x:c r="A395" s="17" t="n">
        <x:v>43462</x:v>
      </x:c>
      <x:c r="B395" s="20" t="n">
        <x:v>0.025</x:v>
      </x:c>
    </x:row>
    <x:row r="396">
      <x:c r="A396" s="17" t="n">
        <x:v>43463</x:v>
      </x:c>
      <x:c r="B396" s="20" t="n">
        <x:v>0.025</x:v>
      </x:c>
    </x:row>
    <x:row r="397">
      <x:c r="A397" s="17" t="n">
        <x:v>43464</x:v>
      </x:c>
      <x:c r="B397" s="20" t="n">
        <x:v>0.025</x:v>
      </x:c>
    </x:row>
    <x:row r="398">
      <x:c r="A398" s="17" t="n">
        <x:v>43465</x:v>
      </x:c>
      <x:c r="B398" s="20" t="n">
        <x:v>0.025</x:v>
      </x:c>
    </x:row>
    <x:row r="399">
      <x:c r="A399" s="17" t="n">
        <x:v>43466</x:v>
      </x:c>
      <x:c r="B399" s="20" t="n">
        <x:v>0.025</x:v>
      </x:c>
    </x:row>
    <x:row r="400">
      <x:c r="A400" s="17" t="n">
        <x:v>43467</x:v>
      </x:c>
      <x:c r="B400" s="20" t="n">
        <x:v>0.025</x:v>
      </x:c>
    </x:row>
    <x:row r="401">
      <x:c r="A401" s="17" t="n">
        <x:v>43468</x:v>
      </x:c>
      <x:c r="B401" s="20" t="n">
        <x:v>0.025</x:v>
      </x:c>
    </x:row>
    <x:row r="402">
      <x:c r="A402" s="17" t="n">
        <x:v>43469</x:v>
      </x:c>
      <x:c r="B402" s="20" t="n">
        <x:v>0.025</x:v>
      </x:c>
    </x:row>
    <x:row r="403">
      <x:c r="A403" s="17" t="n">
        <x:v>43470</x:v>
      </x:c>
      <x:c r="B403" s="20" t="n">
        <x:v>0.025</x:v>
      </x:c>
    </x:row>
    <x:row r="404">
      <x:c r="A404" s="17" t="n">
        <x:v>43471</x:v>
      </x:c>
      <x:c r="B404" s="20" t="n">
        <x:v>0.025</x:v>
      </x:c>
    </x:row>
    <x:row r="405">
      <x:c r="A405" s="17" t="n">
        <x:v>43472</x:v>
      </x:c>
      <x:c r="B405" s="20" t="n">
        <x:v>0.025</x:v>
      </x:c>
    </x:row>
    <x:row r="406">
      <x:c r="A406" s="17" t="n">
        <x:v>43473</x:v>
      </x:c>
      <x:c r="B406" s="20" t="n">
        <x:v>0.025</x:v>
      </x:c>
    </x:row>
    <x:row r="407">
      <x:c r="A407" s="17" t="n">
        <x:v>43474</x:v>
      </x:c>
      <x:c r="B407" s="20" t="n">
        <x:v>0.025</x:v>
      </x:c>
    </x:row>
    <x:row r="408">
      <x:c r="A408" s="17" t="n">
        <x:v>43475</x:v>
      </x:c>
      <x:c r="B408" s="20" t="n">
        <x:v>0.025</x:v>
      </x:c>
    </x:row>
    <x:row r="409">
      <x:c r="A409" s="17" t="n">
        <x:v>43476</x:v>
      </x:c>
      <x:c r="B409" s="20" t="n">
        <x:v>0.025</x:v>
      </x:c>
    </x:row>
    <x:row r="410">
      <x:c r="A410" s="17" t="n">
        <x:v>43477</x:v>
      </x:c>
      <x:c r="B410" s="20" t="n">
        <x:v>0.025</x:v>
      </x:c>
    </x:row>
    <x:row r="411">
      <x:c r="A411" s="17" t="n">
        <x:v>43478</x:v>
      </x:c>
      <x:c r="B411" s="20" t="n">
        <x:v>0.025</x:v>
      </x:c>
    </x:row>
    <x:row r="412">
      <x:c r="A412" s="17" t="n">
        <x:v>43479</x:v>
      </x:c>
      <x:c r="B412" s="20" t="n">
        <x:v>0.025</x:v>
      </x:c>
    </x:row>
    <x:row r="413">
      <x:c r="A413" s="17" t="n">
        <x:v>43480</x:v>
      </x:c>
      <x:c r="B413" s="20" t="n">
        <x:v>0.025</x:v>
      </x:c>
    </x:row>
    <x:row r="414">
      <x:c r="A414" s="17" t="n">
        <x:v>43481</x:v>
      </x:c>
      <x:c r="B414" s="20" t="n">
        <x:v>0.025</x:v>
      </x:c>
    </x:row>
    <x:row r="415">
      <x:c r="A415" s="17" t="n">
        <x:v>43482</x:v>
      </x:c>
      <x:c r="B415" s="20" t="n">
        <x:v>0.025</x:v>
      </x:c>
    </x:row>
    <x:row r="416">
      <x:c r="A416" s="17" t="n">
        <x:v>43483</x:v>
      </x:c>
      <x:c r="B416" s="20" t="n">
        <x:v>0.025</x:v>
      </x:c>
    </x:row>
    <x:row r="417">
      <x:c r="A417" s="17" t="n">
        <x:v>43484</x:v>
      </x:c>
      <x:c r="B417" s="20" t="n">
        <x:v>0.025</x:v>
      </x:c>
    </x:row>
    <x:row r="418">
      <x:c r="A418" s="17" t="n">
        <x:v>43485</x:v>
      </x:c>
      <x:c r="B418" s="20" t="n">
        <x:v>0.025</x:v>
      </x:c>
    </x:row>
    <x:row r="419">
      <x:c r="A419" s="17" t="n">
        <x:v>43486</x:v>
      </x:c>
      <x:c r="B419" s="20" t="n">
        <x:v>0.025</x:v>
      </x:c>
    </x:row>
    <x:row r="420">
      <x:c r="A420" s="17" t="n">
        <x:v>43487</x:v>
      </x:c>
      <x:c r="B420" s="20" t="n">
        <x:v>0.025</x:v>
      </x:c>
    </x:row>
    <x:row r="421">
      <x:c r="A421" s="17" t="n">
        <x:v>43488</x:v>
      </x:c>
      <x:c r="B421" s="20" t="n">
        <x:v>0.025</x:v>
      </x:c>
    </x:row>
    <x:row r="422">
      <x:c r="A422" s="17" t="n">
        <x:v>43489</x:v>
      </x:c>
      <x:c r="B422" s="20" t="n">
        <x:v>0.025</x:v>
      </x:c>
    </x:row>
    <x:row r="423">
      <x:c r="A423" s="17" t="n">
        <x:v>43490</x:v>
      </x:c>
      <x:c r="B423" s="20" t="n">
        <x:v>0.025</x:v>
      </x:c>
    </x:row>
    <x:row r="424">
      <x:c r="A424" s="17" t="n">
        <x:v>43491</x:v>
      </x:c>
      <x:c r="B424" s="20" t="n">
        <x:v>0.025</x:v>
      </x:c>
    </x:row>
    <x:row r="425">
      <x:c r="A425" s="17" t="n">
        <x:v>43492</x:v>
      </x:c>
      <x:c r="B425" s="20" t="n">
        <x:v>0.025</x:v>
      </x:c>
    </x:row>
    <x:row r="426">
      <x:c r="A426" s="17" t="n">
        <x:v>43493</x:v>
      </x:c>
      <x:c r="B426" s="20" t="n">
        <x:v>0.025</x:v>
      </x:c>
    </x:row>
    <x:row r="427">
      <x:c r="A427" s="17" t="n">
        <x:v>43494</x:v>
      </x:c>
      <x:c r="B427" s="20" t="n">
        <x:v>0.025</x:v>
      </x:c>
    </x:row>
    <x:row r="428">
      <x:c r="A428" s="17" t="n">
        <x:v>43495</x:v>
      </x:c>
      <x:c r="B428" s="20" t="n">
        <x:v>0.025</x:v>
      </x:c>
    </x:row>
    <x:row r="429">
      <x:c r="A429" s="17" t="n">
        <x:v>43496</x:v>
      </x:c>
      <x:c r="B429" s="20" t="n">
        <x:v>0.025</x:v>
      </x:c>
    </x:row>
    <x:row r="430">
      <x:c r="A430" s="17" t="n">
        <x:v>43497</x:v>
      </x:c>
      <x:c r="B430" s="20" t="n">
        <x:v>0.025</x:v>
      </x:c>
    </x:row>
    <x:row r="431">
      <x:c r="A431" s="17" t="n">
        <x:v>43498</x:v>
      </x:c>
      <x:c r="B431" s="20" t="n">
        <x:v>0.025</x:v>
      </x:c>
    </x:row>
    <x:row r="432">
      <x:c r="A432" s="17" t="n">
        <x:v>43499</x:v>
      </x:c>
      <x:c r="B432" s="20" t="n">
        <x:v>0.025</x:v>
      </x:c>
    </x:row>
    <x:row r="433">
      <x:c r="A433" s="17" t="n">
        <x:v>43500</x:v>
      </x:c>
      <x:c r="B433" s="20" t="n">
        <x:v>0.025</x:v>
      </x:c>
    </x:row>
    <x:row r="434">
      <x:c r="A434" s="17" t="n">
        <x:v>43501</x:v>
      </x:c>
      <x:c r="B434" s="20" t="n">
        <x:v>0.025</x:v>
      </x:c>
    </x:row>
    <x:row r="435">
      <x:c r="A435" s="17" t="n">
        <x:v>43502</x:v>
      </x:c>
      <x:c r="B435" s="20" t="n">
        <x:v>0.025</x:v>
      </x:c>
    </x:row>
    <x:row r="436">
      <x:c r="A436" s="17" t="n">
        <x:v>43503</x:v>
      </x:c>
      <x:c r="B436" s="20" t="n">
        <x:v>0.025</x:v>
      </x:c>
    </x:row>
    <x:row r="437">
      <x:c r="A437" s="17" t="n">
        <x:v>43504</x:v>
      </x:c>
      <x:c r="B437" s="20" t="n">
        <x:v>0.025</x:v>
      </x:c>
    </x:row>
    <x:row r="438">
      <x:c r="A438" s="17" t="n">
        <x:v>43505</x:v>
      </x:c>
      <x:c r="B438" s="20" t="n">
        <x:v>0.025</x:v>
      </x:c>
    </x:row>
    <x:row r="439">
      <x:c r="A439" s="17" t="n">
        <x:v>43506</x:v>
      </x:c>
      <x:c r="B439" s="20" t="n">
        <x:v>0.025</x:v>
      </x:c>
    </x:row>
    <x:row r="440">
      <x:c r="A440" s="17" t="n">
        <x:v>43507</x:v>
      </x:c>
      <x:c r="B440" s="20" t="n">
        <x:v>0.025</x:v>
      </x:c>
    </x:row>
    <x:row r="441">
      <x:c r="A441" s="17" t="n">
        <x:v>43508</x:v>
      </x:c>
      <x:c r="B441" s="20" t="n">
        <x:v>0.025</x:v>
      </x:c>
    </x:row>
    <x:row r="442">
      <x:c r="A442" s="17" t="n">
        <x:v>43509</x:v>
      </x:c>
      <x:c r="B442" s="20" t="n">
        <x:v>0.025</x:v>
      </x:c>
    </x:row>
    <x:row r="443">
      <x:c r="A443" s="17" t="n">
        <x:v>43510</x:v>
      </x:c>
      <x:c r="B443" s="20" t="n">
        <x:v>0.025</x:v>
      </x:c>
    </x:row>
    <x:row r="444">
      <x:c r="A444" s="17" t="n">
        <x:v>43511</x:v>
      </x:c>
      <x:c r="B444" s="20" t="n">
        <x:v>0.025</x:v>
      </x:c>
    </x:row>
    <x:row r="445">
      <x:c r="A445" s="17" t="n">
        <x:v>43512</x:v>
      </x:c>
      <x:c r="B445" s="20" t="n">
        <x:v>0.025</x:v>
      </x:c>
    </x:row>
    <x:row r="446">
      <x:c r="A446" s="17" t="n">
        <x:v>43513</x:v>
      </x:c>
      <x:c r="B446" s="20" t="n">
        <x:v>0.025</x:v>
      </x:c>
    </x:row>
    <x:row r="447">
      <x:c r="A447" s="17" t="n">
        <x:v>43514</x:v>
      </x:c>
      <x:c r="B447" s="20" t="n">
        <x:v>0.025</x:v>
      </x:c>
    </x:row>
    <x:row r="448">
      <x:c r="A448" s="17" t="n">
        <x:v>43515</x:v>
      </x:c>
      <x:c r="B448" s="20" t="n">
        <x:v>0.025</x:v>
      </x:c>
    </x:row>
    <x:row r="449">
      <x:c r="A449" s="17" t="n">
        <x:v>43516</x:v>
      </x:c>
      <x:c r="B449" s="20" t="n">
        <x:v>0.025</x:v>
      </x:c>
    </x:row>
    <x:row r="450">
      <x:c r="A450" s="17" t="n">
        <x:v>43517</x:v>
      </x:c>
      <x:c r="B450" s="20" t="n">
        <x:v>0.025</x:v>
      </x:c>
    </x:row>
    <x:row r="451">
      <x:c r="A451" s="17" t="n">
        <x:v>43518</x:v>
      </x:c>
      <x:c r="B451" s="20" t="n">
        <x:v>0.025</x:v>
      </x:c>
    </x:row>
    <x:row r="452">
      <x:c r="A452" s="17" t="n">
        <x:v>43519</x:v>
      </x:c>
      <x:c r="B452" s="20" t="n">
        <x:v>0.025</x:v>
      </x:c>
    </x:row>
    <x:row r="453">
      <x:c r="A453" s="17" t="n">
        <x:v>43520</x:v>
      </x:c>
      <x:c r="B453" s="20" t="n">
        <x:v>0.025</x:v>
      </x:c>
    </x:row>
    <x:row r="454">
      <x:c r="A454" s="17" t="n">
        <x:v>43521</x:v>
      </x:c>
      <x:c r="B454" s="20" t="n">
        <x:v>0.025</x:v>
      </x:c>
    </x:row>
    <x:row r="455">
      <x:c r="A455" s="17" t="n">
        <x:v>43522</x:v>
      </x:c>
      <x:c r="B455" s="20" t="n">
        <x:v>0.025</x:v>
      </x:c>
    </x:row>
    <x:row r="456">
      <x:c r="A456" s="17" t="n">
        <x:v>43523</x:v>
      </x:c>
      <x:c r="B456" s="20" t="n">
        <x:v>0.025</x:v>
      </x:c>
    </x:row>
    <x:row r="457">
      <x:c r="A457" s="17" t="n">
        <x:v>43524</x:v>
      </x:c>
      <x:c r="B457" s="20" t="n">
        <x:v>0.025</x:v>
      </x:c>
    </x:row>
    <x:row r="458">
      <x:c r="A458" s="17" t="n">
        <x:v>43525</x:v>
      </x:c>
      <x:c r="B458" s="20" t="n">
        <x:v>0.025</x:v>
      </x:c>
    </x:row>
    <x:row r="459">
      <x:c r="A459" s="17" t="n">
        <x:v>43526</x:v>
      </x:c>
      <x:c r="B459" s="20" t="n">
        <x:v>0.025</x:v>
      </x:c>
    </x:row>
    <x:row r="460">
      <x:c r="A460" s="17" t="n">
        <x:v>43527</x:v>
      </x:c>
      <x:c r="B460" s="20" t="n">
        <x:v>0.025</x:v>
      </x:c>
    </x:row>
    <x:row r="461">
      <x:c r="A461" s="17" t="n">
        <x:v>43528</x:v>
      </x:c>
      <x:c r="B461" s="20" t="n">
        <x:v>0.025</x:v>
      </x:c>
    </x:row>
    <x:row r="462">
      <x:c r="A462" s="17" t="n">
        <x:v>43529</x:v>
      </x:c>
      <x:c r="B462" s="20" t="n">
        <x:v>0.025</x:v>
      </x:c>
    </x:row>
    <x:row r="463">
      <x:c r="A463" s="17" t="n">
        <x:v>43530</x:v>
      </x:c>
      <x:c r="B463" s="20" t="n">
        <x:v>0.025</x:v>
      </x:c>
    </x:row>
    <x:row r="464">
      <x:c r="A464" s="17" t="n">
        <x:v>43531</x:v>
      </x:c>
      <x:c r="B464" s="20" t="n">
        <x:v>0.025</x:v>
      </x:c>
    </x:row>
    <x:row r="465">
      <x:c r="A465" s="17" t="n">
        <x:v>43532</x:v>
      </x:c>
      <x:c r="B465" s="20" t="n">
        <x:v>0.025</x:v>
      </x:c>
    </x:row>
    <x:row r="466">
      <x:c r="A466" s="17" t="n">
        <x:v>43533</x:v>
      </x:c>
      <x:c r="B466" s="20" t="n">
        <x:v>0.025</x:v>
      </x:c>
    </x:row>
    <x:row r="467">
      <x:c r="A467" s="17" t="n">
        <x:v>43534</x:v>
      </x:c>
      <x:c r="B467" s="20" t="n">
        <x:v>0.025</x:v>
      </x:c>
    </x:row>
    <x:row r="468">
      <x:c r="A468" s="17" t="n">
        <x:v>43535</x:v>
      </x:c>
      <x:c r="B468" s="20" t="n">
        <x:v>0.025</x:v>
      </x:c>
    </x:row>
    <x:row r="469">
      <x:c r="A469" s="17" t="n">
        <x:v>43536</x:v>
      </x:c>
      <x:c r="B469" s="20" t="n">
        <x:v>0.025</x:v>
      </x:c>
    </x:row>
    <x:row r="470">
      <x:c r="A470" s="17" t="n">
        <x:v>43537</x:v>
      </x:c>
      <x:c r="B470" s="20" t="n">
        <x:v>0.025</x:v>
      </x:c>
    </x:row>
    <x:row r="471">
      <x:c r="A471" s="17" t="n">
        <x:v>43538</x:v>
      </x:c>
      <x:c r="B471" s="20" t="n">
        <x:v>0.025</x:v>
      </x:c>
    </x:row>
    <x:row r="472">
      <x:c r="A472" s="17" t="n">
        <x:v>43539</x:v>
      </x:c>
      <x:c r="B472" s="20" t="n">
        <x:v>0.025</x:v>
      </x:c>
    </x:row>
    <x:row r="473">
      <x:c r="A473" s="17" t="n">
        <x:v>43540</x:v>
      </x:c>
      <x:c r="B473" s="20" t="n">
        <x:v>0.025</x:v>
      </x:c>
    </x:row>
    <x:row r="474">
      <x:c r="A474" s="17" t="n">
        <x:v>43541</x:v>
      </x:c>
      <x:c r="B474" s="20" t="n">
        <x:v>0.025</x:v>
      </x:c>
    </x:row>
    <x:row r="475">
      <x:c r="A475" s="17" t="n">
        <x:v>43542</x:v>
      </x:c>
      <x:c r="B475" s="20" t="n">
        <x:v>0.025</x:v>
      </x:c>
    </x:row>
    <x:row r="476">
      <x:c r="A476" s="17" t="n">
        <x:v>43543</x:v>
      </x:c>
      <x:c r="B476" s="20" t="n">
        <x:v>0.025</x:v>
      </x:c>
    </x:row>
    <x:row r="477">
      <x:c r="A477" s="17" t="n">
        <x:v>43544</x:v>
      </x:c>
      <x:c r="B477" s="20" t="n">
        <x:v>0.025</x:v>
      </x:c>
    </x:row>
    <x:row r="478">
      <x:c r="A478" s="17" t="n">
        <x:v>43545</x:v>
      </x:c>
      <x:c r="B478" s="20" t="n">
        <x:v>0.025</x:v>
      </x:c>
    </x:row>
    <x:row r="479">
      <x:c r="A479" s="17" t="n">
        <x:v>43546</x:v>
      </x:c>
      <x:c r="B479" s="20" t="n">
        <x:v>0.025</x:v>
      </x:c>
    </x:row>
    <x:row r="480">
      <x:c r="A480" s="17" t="n">
        <x:v>43547</x:v>
      </x:c>
      <x:c r="B480" s="20" t="n">
        <x:v>0.025</x:v>
      </x:c>
    </x:row>
    <x:row r="481">
      <x:c r="A481" s="17" t="n">
        <x:v>43548</x:v>
      </x:c>
      <x:c r="B481" s="20" t="n">
        <x:v>0.025</x:v>
      </x:c>
    </x:row>
    <x:row r="482">
      <x:c r="A482" s="17" t="n">
        <x:v>43549</x:v>
      </x:c>
      <x:c r="B482" s="20" t="n">
        <x:v>0.025</x:v>
      </x:c>
    </x:row>
    <x:row r="483">
      <x:c r="A483" s="17" t="n">
        <x:v>43550</x:v>
      </x:c>
      <x:c r="B483" s="20" t="n">
        <x:v>0.025</x:v>
      </x:c>
    </x:row>
    <x:row r="484">
      <x:c r="A484" s="17" t="n">
        <x:v>43551</x:v>
      </x:c>
      <x:c r="B484" s="20" t="n">
        <x:v>0.025</x:v>
      </x:c>
    </x:row>
    <x:row r="485">
      <x:c r="A485" s="17" t="n">
        <x:v>43552</x:v>
      </x:c>
      <x:c r="B485" s="20" t="n">
        <x:v>0.025</x:v>
      </x:c>
    </x:row>
    <x:row r="486">
      <x:c r="A486" s="17" t="n">
        <x:v>43553</x:v>
      </x:c>
      <x:c r="B486" s="20" t="n">
        <x:v>0.025</x:v>
      </x:c>
    </x:row>
    <x:row r="487">
      <x:c r="A487" s="17" t="n">
        <x:v>43554</x:v>
      </x:c>
      <x:c r="B487" s="20" t="n">
        <x:v>0.025</x:v>
      </x:c>
    </x:row>
    <x:row r="488">
      <x:c r="A488" s="17" t="n">
        <x:v>43555</x:v>
      </x:c>
      <x:c r="B488" s="20" t="n">
        <x:v>0.025</x:v>
      </x:c>
    </x:row>
    <x:row r="489">
      <x:c r="A489" s="17" t="n">
        <x:v>43556</x:v>
      </x:c>
      <x:c r="B489" s="20" t="n">
        <x:v>0.025</x:v>
      </x:c>
    </x:row>
    <x:row r="490">
      <x:c r="A490" s="17" t="n">
        <x:v>43557</x:v>
      </x:c>
      <x:c r="B490" s="20" t="n">
        <x:v>0.025</x:v>
      </x:c>
    </x:row>
    <x:row r="491">
      <x:c r="A491" s="17" t="n">
        <x:v>43558</x:v>
      </x:c>
      <x:c r="B491" s="20" t="n">
        <x:v>0.025</x:v>
      </x:c>
    </x:row>
    <x:row r="492">
      <x:c r="A492" s="17" t="n">
        <x:v>43559</x:v>
      </x:c>
      <x:c r="B492" s="20" t="n">
        <x:v>0.025</x:v>
      </x:c>
    </x:row>
    <x:row r="493">
      <x:c r="A493" s="17" t="n">
        <x:v>43560</x:v>
      </x:c>
      <x:c r="B493" s="20" t="n">
        <x:v>0.025</x:v>
      </x:c>
    </x:row>
    <x:row r="494">
      <x:c r="A494" s="17" t="n">
        <x:v>43561</x:v>
      </x:c>
      <x:c r="B494" s="20" t="n">
        <x:v>0.025</x:v>
      </x:c>
    </x:row>
    <x:row r="495">
      <x:c r="A495" s="17" t="n">
        <x:v>43562</x:v>
      </x:c>
      <x:c r="B495" s="20" t="n">
        <x:v>0.025</x:v>
      </x:c>
    </x:row>
    <x:row r="496">
      <x:c r="A496" s="17" t="n">
        <x:v>43563</x:v>
      </x:c>
      <x:c r="B496" s="20" t="n">
        <x:v>0.025</x:v>
      </x:c>
    </x:row>
    <x:row r="497">
      <x:c r="A497" s="17" t="n">
        <x:v>43564</x:v>
      </x:c>
      <x:c r="B497" s="20" t="n">
        <x:v>0.025</x:v>
      </x:c>
    </x:row>
    <x:row r="498">
      <x:c r="A498" s="17" t="n">
        <x:v>43565</x:v>
      </x:c>
      <x:c r="B498" s="20" t="n">
        <x:v>0.025</x:v>
      </x:c>
    </x:row>
    <x:row r="499">
      <x:c r="A499" s="17" t="n">
        <x:v>43566</x:v>
      </x:c>
      <x:c r="B499" s="20" t="n">
        <x:v>0.025</x:v>
      </x:c>
    </x:row>
    <x:row r="500">
      <x:c r="A500" s="17" t="n">
        <x:v>43567</x:v>
      </x:c>
      <x:c r="B500" s="20" t="n">
        <x:v>0.025</x:v>
      </x:c>
    </x:row>
    <x:row r="501">
      <x:c r="A501" s="17" t="n">
        <x:v>43568</x:v>
      </x:c>
      <x:c r="B501" s="20" t="n">
        <x:v>0.025</x:v>
      </x:c>
    </x:row>
    <x:row r="502">
      <x:c r="A502" s="17" t="n">
        <x:v>43569</x:v>
      </x:c>
      <x:c r="B502" s="20" t="n">
        <x:v>0.025</x:v>
      </x:c>
    </x:row>
    <x:row r="503">
      <x:c r="A503" s="17" t="n">
        <x:v>43570</x:v>
      </x:c>
      <x:c r="B503" s="20" t="n">
        <x:v>0.025</x:v>
      </x:c>
    </x:row>
    <x:row r="504">
      <x:c r="A504" s="17" t="n">
        <x:v>43571</x:v>
      </x:c>
      <x:c r="B504" s="20" t="n">
        <x:v>0.025</x:v>
      </x:c>
    </x:row>
    <x:row r="505">
      <x:c r="A505" s="17" t="n">
        <x:v>43572</x:v>
      </x:c>
      <x:c r="B505" s="20" t="n">
        <x:v>0.025</x:v>
      </x:c>
    </x:row>
    <x:row r="506">
      <x:c r="A506" s="17" t="n">
        <x:v>43573</x:v>
      </x:c>
      <x:c r="B506" s="20" t="n">
        <x:v>0.025</x:v>
      </x:c>
    </x:row>
    <x:row r="507">
      <x:c r="A507" s="17" t="n">
        <x:v>43574</x:v>
      </x:c>
      <x:c r="B507" s="20" t="n">
        <x:v>0.025</x:v>
      </x:c>
    </x:row>
    <x:row r="508">
      <x:c r="A508" s="17" t="n">
        <x:v>43575</x:v>
      </x:c>
      <x:c r="B508" s="20" t="n">
        <x:v>0.025</x:v>
      </x:c>
    </x:row>
    <x:row r="509">
      <x:c r="A509" s="17" t="n">
        <x:v>43576</x:v>
      </x:c>
      <x:c r="B509" s="20" t="n">
        <x:v>0.025</x:v>
      </x:c>
    </x:row>
    <x:row r="510">
      <x:c r="A510" s="17" t="n">
        <x:v>43577</x:v>
      </x:c>
      <x:c r="B510" s="20" t="n">
        <x:v>0.025</x:v>
      </x:c>
    </x:row>
    <x:row r="511">
      <x:c r="A511" s="17" t="n">
        <x:v>43578</x:v>
      </x:c>
      <x:c r="B511" s="20" t="n">
        <x:v>0.025</x:v>
      </x:c>
    </x:row>
    <x:row r="512">
      <x:c r="A512" s="17" t="n">
        <x:v>43579</x:v>
      </x:c>
      <x:c r="B512" s="20" t="n">
        <x:v>0.025</x:v>
      </x:c>
    </x:row>
    <x:row r="513">
      <x:c r="A513" s="17" t="n">
        <x:v>43580</x:v>
      </x:c>
      <x:c r="B513" s="20" t="n">
        <x:v>0.025</x:v>
      </x:c>
    </x:row>
    <x:row r="514">
      <x:c r="A514" s="17" t="n">
        <x:v>43581</x:v>
      </x:c>
      <x:c r="B514" s="20" t="n">
        <x:v>0.025</x:v>
      </x:c>
    </x:row>
    <x:row r="515">
      <x:c r="A515" s="17" t="n">
        <x:v>43582</x:v>
      </x:c>
      <x:c r="B515" s="20" t="n">
        <x:v>0.025</x:v>
      </x:c>
    </x:row>
    <x:row r="516">
      <x:c r="A516" s="17" t="n">
        <x:v>43583</x:v>
      </x:c>
      <x:c r="B516" s="20" t="n">
        <x:v>0.025</x:v>
      </x:c>
    </x:row>
    <x:row r="517">
      <x:c r="A517" s="17" t="n">
        <x:v>43584</x:v>
      </x:c>
      <x:c r="B517" s="20" t="n">
        <x:v>0.025</x:v>
      </x:c>
    </x:row>
    <x:row r="518">
      <x:c r="A518" s="17" t="n">
        <x:v>43585</x:v>
      </x:c>
      <x:c r="B518" s="20" t="n">
        <x:v>0.025</x:v>
      </x:c>
    </x:row>
    <x:row r="519">
      <x:c r="A519" s="17" t="n">
        <x:v>43586</x:v>
      </x:c>
      <x:c r="B519" s="20" t="n">
        <x:v>0.025</x:v>
      </x:c>
    </x:row>
    <x:row r="520">
      <x:c r="A520" s="17" t="n">
        <x:v>43587</x:v>
      </x:c>
      <x:c r="B520" s="20" t="n">
        <x:v>0.025</x:v>
      </x:c>
    </x:row>
    <x:row r="521">
      <x:c r="A521" s="17" t="n">
        <x:v>43588</x:v>
      </x:c>
      <x:c r="B521" s="20" t="n">
        <x:v>0.025</x:v>
      </x:c>
    </x:row>
    <x:row r="522">
      <x:c r="A522" s="17" t="n">
        <x:v>43589</x:v>
      </x:c>
      <x:c r="B522" s="20" t="n">
        <x:v>0.025</x:v>
      </x:c>
    </x:row>
    <x:row r="523">
      <x:c r="A523" s="17" t="n">
        <x:v>43590</x:v>
      </x:c>
      <x:c r="B523" s="20" t="n">
        <x:v>0.025</x:v>
      </x:c>
    </x:row>
    <x:row r="524">
      <x:c r="A524" s="17" t="n">
        <x:v>43591</x:v>
      </x:c>
      <x:c r="B524" s="20" t="n">
        <x:v>0.025</x:v>
      </x:c>
    </x:row>
    <x:row r="525">
      <x:c r="A525" s="17" t="n">
        <x:v>43592</x:v>
      </x:c>
      <x:c r="B525" s="20" t="n">
        <x:v>0.025</x:v>
      </x:c>
    </x:row>
    <x:row r="526">
      <x:c r="A526" s="17" t="n">
        <x:v>43593</x:v>
      </x:c>
      <x:c r="B526" s="20" t="n">
        <x:v>0.025</x:v>
      </x:c>
    </x:row>
    <x:row r="527">
      <x:c r="A527" s="17" t="n">
        <x:v>43594</x:v>
      </x:c>
      <x:c r="B527" s="20" t="n">
        <x:v>0.025</x:v>
      </x:c>
    </x:row>
    <x:row r="528">
      <x:c r="A528" s="17" t="n">
        <x:v>43595</x:v>
      </x:c>
      <x:c r="B528" s="20" t="n">
        <x:v>0.025</x:v>
      </x:c>
    </x:row>
    <x:row r="529">
      <x:c r="A529" s="17" t="n">
        <x:v>43596</x:v>
      </x:c>
      <x:c r="B529" s="20" t="n">
        <x:v>0.025</x:v>
      </x:c>
    </x:row>
    <x:row r="530">
      <x:c r="A530" s="17" t="n">
        <x:v>43597</x:v>
      </x:c>
      <x:c r="B530" s="20" t="n">
        <x:v>0.025</x:v>
      </x:c>
    </x:row>
    <x:row r="531">
      <x:c r="A531" s="17" t="n">
        <x:v>43598</x:v>
      </x:c>
      <x:c r="B531" s="20" t="n">
        <x:v>0.025</x:v>
      </x:c>
    </x:row>
    <x:row r="532">
      <x:c r="A532" s="17" t="n">
        <x:v>43599</x:v>
      </x:c>
      <x:c r="B532" s="20" t="n">
        <x:v>0.025</x:v>
      </x:c>
    </x:row>
    <x:row r="533">
      <x:c r="A533" s="17" t="n">
        <x:v>43600</x:v>
      </x:c>
      <x:c r="B533" s="20" t="n">
        <x:v>0.025</x:v>
      </x:c>
    </x:row>
    <x:row r="534">
      <x:c r="A534" s="17" t="n">
        <x:v>43601</x:v>
      </x:c>
      <x:c r="B534" s="20" t="n">
        <x:v>0.025</x:v>
      </x:c>
    </x:row>
    <x:row r="535">
      <x:c r="A535" s="17" t="n">
        <x:v>43602</x:v>
      </x:c>
      <x:c r="B535" s="20" t="n">
        <x:v>0.025</x:v>
      </x:c>
    </x:row>
    <x:row r="536">
      <x:c r="A536" s="17" t="n">
        <x:v>43603</x:v>
      </x:c>
      <x:c r="B536" s="20" t="n">
        <x:v>0.025</x:v>
      </x:c>
    </x:row>
    <x:row r="537">
      <x:c r="A537" s="17" t="n">
        <x:v>43604</x:v>
      </x:c>
      <x:c r="B537" s="20" t="n">
        <x:v>0.025</x:v>
      </x:c>
    </x:row>
    <x:row r="538">
      <x:c r="A538" s="17" t="n">
        <x:v>43605</x:v>
      </x:c>
      <x:c r="B538" s="20" t="n">
        <x:v>0.025</x:v>
      </x:c>
    </x:row>
    <x:row r="539">
      <x:c r="A539" s="17" t="n">
        <x:v>43606</x:v>
      </x:c>
      <x:c r="B539" s="20" t="n">
        <x:v>0.025</x:v>
      </x:c>
    </x:row>
    <x:row r="540">
      <x:c r="A540" s="17" t="n">
        <x:v>43607</x:v>
      </x:c>
      <x:c r="B540" s="20" t="n">
        <x:v>0.025</x:v>
      </x:c>
    </x:row>
    <x:row r="541">
      <x:c r="A541" s="17" t="n">
        <x:v>43608</x:v>
      </x:c>
      <x:c r="B541" s="20" t="n">
        <x:v>0.025</x:v>
      </x:c>
    </x:row>
    <x:row r="542">
      <x:c r="A542" s="17" t="n">
        <x:v>43609</x:v>
      </x:c>
      <x:c r="B542" s="20" t="n">
        <x:v>0.025</x:v>
      </x:c>
    </x:row>
    <x:row r="543">
      <x:c r="A543" s="17" t="n">
        <x:v>43610</x:v>
      </x:c>
      <x:c r="B543" s="20" t="n">
        <x:v>0.025</x:v>
      </x:c>
    </x:row>
    <x:row r="544">
      <x:c r="A544" s="17" t="n">
        <x:v>43611</x:v>
      </x:c>
      <x:c r="B544" s="20" t="n">
        <x:v>0.025</x:v>
      </x:c>
    </x:row>
    <x:row r="545">
      <x:c r="A545" s="17" t="n">
        <x:v>43612</x:v>
      </x:c>
      <x:c r="B545" s="20" t="n">
        <x:v>0.025</x:v>
      </x:c>
    </x:row>
    <x:row r="546">
      <x:c r="A546" s="17" t="n">
        <x:v>43613</x:v>
      </x:c>
      <x:c r="B546" s="20" t="n">
        <x:v>0.025</x:v>
      </x:c>
    </x:row>
    <x:row r="547">
      <x:c r="A547" s="17" t="n">
        <x:v>43614</x:v>
      </x:c>
      <x:c r="B547" s="20" t="n">
        <x:v>0.025</x:v>
      </x:c>
    </x:row>
    <x:row r="548">
      <x:c r="A548" s="17" t="n">
        <x:v>43615</x:v>
      </x:c>
      <x:c r="B548" s="20" t="n">
        <x:v>0.025</x:v>
      </x:c>
    </x:row>
    <x:row r="549">
      <x:c r="A549" s="17" t="n">
        <x:v>43616</x:v>
      </x:c>
      <x:c r="B549" s="20" t="n">
        <x:v>0.025</x:v>
      </x:c>
    </x:row>
    <x:row r="550">
      <x:c r="A550" s="17" t="n">
        <x:v>43617</x:v>
      </x:c>
      <x:c r="B550" s="20" t="n">
        <x:v>0.025</x:v>
      </x:c>
    </x:row>
    <x:row r="551">
      <x:c r="A551" s="17" t="n">
        <x:v>43618</x:v>
      </x:c>
      <x:c r="B551" s="20" t="n">
        <x:v>0.025</x:v>
      </x:c>
    </x:row>
    <x:row r="552">
      <x:c r="A552" s="17" t="n">
        <x:v>43619</x:v>
      </x:c>
      <x:c r="B552" s="20" t="n">
        <x:v>0.025</x:v>
      </x:c>
    </x:row>
    <x:row r="553">
      <x:c r="A553" s="17" t="n">
        <x:v>43620</x:v>
      </x:c>
      <x:c r="B553" s="20" t="n">
        <x:v>0.025</x:v>
      </x:c>
    </x:row>
    <x:row r="554">
      <x:c r="A554" s="17" t="n">
        <x:v>43621</x:v>
      </x:c>
      <x:c r="B554" s="20" t="n">
        <x:v>0.025</x:v>
      </x:c>
    </x:row>
    <x:row r="555">
      <x:c r="A555" s="17" t="n">
        <x:v>43622</x:v>
      </x:c>
      <x:c r="B555" s="20" t="n">
        <x:v>0.025</x:v>
      </x:c>
    </x:row>
    <x:row r="556">
      <x:c r="A556" s="17" t="n">
        <x:v>43623</x:v>
      </x:c>
      <x:c r="B556" s="20" t="n">
        <x:v>0.025</x:v>
      </x:c>
    </x:row>
    <x:row r="557">
      <x:c r="A557" s="17" t="n">
        <x:v>43624</x:v>
      </x:c>
      <x:c r="B557" s="20" t="n">
        <x:v>0.025</x:v>
      </x:c>
    </x:row>
    <x:row r="558">
      <x:c r="A558" s="17" t="n">
        <x:v>43625</x:v>
      </x:c>
      <x:c r="B558" s="20" t="n">
        <x:v>0.025</x:v>
      </x:c>
    </x:row>
    <x:row r="559">
      <x:c r="A559" s="17" t="n">
        <x:v>43626</x:v>
      </x:c>
      <x:c r="B559" s="20" t="n">
        <x:v>0.025</x:v>
      </x:c>
    </x:row>
    <x:row r="560">
      <x:c r="A560" s="17" t="n">
        <x:v>43627</x:v>
      </x:c>
      <x:c r="B560" s="20" t="n">
        <x:v>0.025</x:v>
      </x:c>
    </x:row>
    <x:row r="561">
      <x:c r="A561" s="17" t="n">
        <x:v>43628</x:v>
      </x:c>
      <x:c r="B561" s="20" t="n">
        <x:v>0.025</x:v>
      </x:c>
    </x:row>
    <x:row r="562">
      <x:c r="A562" s="17" t="n">
        <x:v>43629</x:v>
      </x:c>
      <x:c r="B562" s="20" t="n">
        <x:v>0.025</x:v>
      </x:c>
    </x:row>
    <x:row r="563">
      <x:c r="A563" s="17" t="n">
        <x:v>43630</x:v>
      </x:c>
      <x:c r="B563" s="20" t="n">
        <x:v>0.025</x:v>
      </x:c>
    </x:row>
    <x:row r="564">
      <x:c r="A564" s="17" t="n">
        <x:v>43631</x:v>
      </x:c>
      <x:c r="B564" s="20" t="n">
        <x:v>0.025</x:v>
      </x:c>
    </x:row>
    <x:row r="565">
      <x:c r="A565" s="17" t="n">
        <x:v>43632</x:v>
      </x:c>
      <x:c r="B565" s="20" t="n">
        <x:v>0.025</x:v>
      </x:c>
    </x:row>
    <x:row r="566">
      <x:c r="A566" s="17" t="n">
        <x:v>43633</x:v>
      </x:c>
      <x:c r="B566" s="20" t="n">
        <x:v>0.025</x:v>
      </x:c>
    </x:row>
    <x:row r="567">
      <x:c r="A567" s="17" t="n">
        <x:v>43634</x:v>
      </x:c>
      <x:c r="B567" s="20" t="n">
        <x:v>0.025</x:v>
      </x:c>
    </x:row>
    <x:row r="568">
      <x:c r="A568" s="17" t="n">
        <x:v>43635</x:v>
      </x:c>
      <x:c r="B568" s="20" t="n">
        <x:v>0.025</x:v>
      </x:c>
    </x:row>
    <x:row r="569">
      <x:c r="A569" s="17" t="n">
        <x:v>43636</x:v>
      </x:c>
      <x:c r="B569" s="20" t="n">
        <x:v>0.025</x:v>
      </x:c>
    </x:row>
    <x:row r="570">
      <x:c r="A570" s="17" t="n">
        <x:v>43637</x:v>
      </x:c>
      <x:c r="B570" s="20" t="n">
        <x:v>0.025</x:v>
      </x:c>
    </x:row>
    <x:row r="571">
      <x:c r="A571" s="17" t="n">
        <x:v>43638</x:v>
      </x:c>
      <x:c r="B571" s="20" t="n">
        <x:v>0.025</x:v>
      </x:c>
    </x:row>
    <x:row r="572">
      <x:c r="A572" s="17" t="n">
        <x:v>43639</x:v>
      </x:c>
      <x:c r="B572" s="20" t="n">
        <x:v>0.025</x:v>
      </x:c>
    </x:row>
    <x:row r="573">
      <x:c r="A573" s="17" t="n">
        <x:v>43640</x:v>
      </x:c>
      <x:c r="B573" s="20" t="n">
        <x:v>0.025</x:v>
      </x:c>
    </x:row>
    <x:row r="574">
      <x:c r="A574" s="17" t="n">
        <x:v>43641</x:v>
      </x:c>
      <x:c r="B574" s="20" t="n">
        <x:v>0.025</x:v>
      </x:c>
    </x:row>
    <x:row r="575">
      <x:c r="A575" s="17" t="n">
        <x:v>43642</x:v>
      </x:c>
      <x:c r="B575" s="20" t="n">
        <x:v>0.025</x:v>
      </x:c>
    </x:row>
    <x:row r="576">
      <x:c r="A576" s="17" t="n">
        <x:v>43643</x:v>
      </x:c>
      <x:c r="B576" s="20" t="n">
        <x:v>0.025</x:v>
      </x:c>
    </x:row>
    <x:row r="577">
      <x:c r="A577" s="17" t="n">
        <x:v>43644</x:v>
      </x:c>
      <x:c r="B577" s="20" t="n">
        <x:v>0.025</x:v>
      </x:c>
    </x:row>
    <x:row r="578">
      <x:c r="A578" s="17" t="n">
        <x:v>43645</x:v>
      </x:c>
      <x:c r="B578" s="20" t="n">
        <x:v>0.025</x:v>
      </x:c>
    </x:row>
    <x:row r="579">
      <x:c r="A579" s="17" t="n">
        <x:v>43646</x:v>
      </x:c>
      <x:c r="B579" s="20" t="n">
        <x:v>0.025</x:v>
      </x:c>
    </x:row>
    <x:row r="580">
      <x:c r="A580" s="17" t="n">
        <x:v>43647</x:v>
      </x:c>
      <x:c r="B580" s="20" t="n">
        <x:v>0.025</x:v>
      </x:c>
    </x:row>
    <x:row r="581">
      <x:c r="A581" s="17" t="n">
        <x:v>43648</x:v>
      </x:c>
      <x:c r="B581" s="20" t="n">
        <x:v>0.025</x:v>
      </x:c>
    </x:row>
    <x:row r="582">
      <x:c r="A582" s="17" t="n">
        <x:v>43649</x:v>
      </x:c>
      <x:c r="B582" s="20" t="n">
        <x:v>0.025</x:v>
      </x:c>
    </x:row>
    <x:row r="583">
      <x:c r="A583" s="17" t="n">
        <x:v>43650</x:v>
      </x:c>
      <x:c r="B583" s="20" t="n">
        <x:v>0.025</x:v>
      </x:c>
    </x:row>
    <x:row r="584">
      <x:c r="A584" s="17" t="n">
        <x:v>43651</x:v>
      </x:c>
      <x:c r="B584" s="20" t="n">
        <x:v>0.025</x:v>
      </x:c>
    </x:row>
    <x:row r="585">
      <x:c r="A585" s="17" t="n">
        <x:v>43652</x:v>
      </x:c>
      <x:c r="B585" s="20" t="n">
        <x:v>0.025</x:v>
      </x:c>
    </x:row>
    <x:row r="586">
      <x:c r="A586" s="17" t="n">
        <x:v>43653</x:v>
      </x:c>
      <x:c r="B586" s="20" t="n">
        <x:v>0.025</x:v>
      </x:c>
    </x:row>
    <x:row r="587">
      <x:c r="A587" s="17" t="n">
        <x:v>43654</x:v>
      </x:c>
      <x:c r="B587" s="20" t="n">
        <x:v>0.025</x:v>
      </x:c>
    </x:row>
    <x:row r="588">
      <x:c r="A588" s="17" t="n">
        <x:v>43655</x:v>
      </x:c>
      <x:c r="B588" s="20" t="n">
        <x:v>0.025</x:v>
      </x:c>
    </x:row>
    <x:row r="589">
      <x:c r="A589" s="17" t="n">
        <x:v>43656</x:v>
      </x:c>
      <x:c r="B589" s="20" t="n">
        <x:v>0.025</x:v>
      </x:c>
    </x:row>
    <x:row r="590">
      <x:c r="A590" s="17" t="n">
        <x:v>43657</x:v>
      </x:c>
      <x:c r="B590" s="20" t="n">
        <x:v>0.025</x:v>
      </x:c>
    </x:row>
    <x:row r="591">
      <x:c r="A591" s="17" t="n">
        <x:v>43658</x:v>
      </x:c>
      <x:c r="B591" s="20" t="n">
        <x:v>0.025</x:v>
      </x:c>
    </x:row>
    <x:row r="592">
      <x:c r="A592" s="17" t="n">
        <x:v>43659</x:v>
      </x:c>
      <x:c r="B592" s="20" t="n">
        <x:v>0.025</x:v>
      </x:c>
    </x:row>
    <x:row r="593">
      <x:c r="A593" s="17" t="n">
        <x:v>43660</x:v>
      </x:c>
      <x:c r="B593" s="20" t="n">
        <x:v>0.025</x:v>
      </x:c>
    </x:row>
    <x:row r="594">
      <x:c r="A594" s="17" t="n">
        <x:v>43661</x:v>
      </x:c>
      <x:c r="B594" s="20" t="n">
        <x:v>0.025</x:v>
      </x:c>
    </x:row>
    <x:row r="595">
      <x:c r="A595" s="17" t="n">
        <x:v>43662</x:v>
      </x:c>
      <x:c r="B595" s="20" t="n">
        <x:v>0.025</x:v>
      </x:c>
    </x:row>
    <x:row r="596">
      <x:c r="A596" s="17" t="n">
        <x:v>43663</x:v>
      </x:c>
      <x:c r="B596" s="20" t="n">
        <x:v>0.025</x:v>
      </x:c>
    </x:row>
    <x:row r="597">
      <x:c r="A597" s="17" t="n">
        <x:v>43664</x:v>
      </x:c>
      <x:c r="B597" s="20" t="n">
        <x:v>0.025</x:v>
      </x:c>
    </x:row>
    <x:row r="598">
      <x:c r="A598" s="17" t="n">
        <x:v>43665</x:v>
      </x:c>
      <x:c r="B598" s="20" t="n">
        <x:v>0.025</x:v>
      </x:c>
    </x:row>
    <x:row r="599">
      <x:c r="A599" s="17" t="n">
        <x:v>43666</x:v>
      </x:c>
      <x:c r="B599" s="20" t="n">
        <x:v>0.025</x:v>
      </x:c>
    </x:row>
    <x:row r="600">
      <x:c r="A600" s="17" t="n">
        <x:v>43667</x:v>
      </x:c>
      <x:c r="B600" s="20" t="n">
        <x:v>0.025</x:v>
      </x:c>
    </x:row>
    <x:row r="601">
      <x:c r="A601" s="17" t="n">
        <x:v>43668</x:v>
      </x:c>
      <x:c r="B601" s="20" t="n">
        <x:v>0.025</x:v>
      </x:c>
    </x:row>
    <x:row r="602">
      <x:c r="A602" s="17" t="n">
        <x:v>43669</x:v>
      </x:c>
      <x:c r="B602" s="20" t="n">
        <x:v>0.025</x:v>
      </x:c>
    </x:row>
    <x:row r="603">
      <x:c r="A603" s="17" t="n">
        <x:v>43670</x:v>
      </x:c>
      <x:c r="B603" s="20" t="n">
        <x:v>0.025</x:v>
      </x:c>
    </x:row>
    <x:row r="604">
      <x:c r="A604" s="17" t="n">
        <x:v>43671</x:v>
      </x:c>
      <x:c r="B604" s="20" t="n">
        <x:v>0.025</x:v>
      </x:c>
    </x:row>
    <x:row r="605">
      <x:c r="A605" s="17" t="n">
        <x:v>43672</x:v>
      </x:c>
      <x:c r="B605" s="20" t="n">
        <x:v>0.025</x:v>
      </x:c>
    </x:row>
    <x:row r="606">
      <x:c r="A606" s="17" t="n">
        <x:v>43673</x:v>
      </x:c>
      <x:c r="B606" s="20" t="n">
        <x:v>0.025</x:v>
      </x:c>
    </x:row>
    <x:row r="607">
      <x:c r="A607" s="17" t="n">
        <x:v>43674</x:v>
      </x:c>
      <x:c r="B607" s="20" t="n">
        <x:v>0.025</x:v>
      </x:c>
    </x:row>
    <x:row r="608">
      <x:c r="A608" s="17" t="n">
        <x:v>43675</x:v>
      </x:c>
      <x:c r="B608" s="20" t="n">
        <x:v>0.025</x:v>
      </x:c>
    </x:row>
    <x:row r="609">
      <x:c r="A609" s="17" t="n">
        <x:v>43676</x:v>
      </x:c>
      <x:c r="B609" s="20" t="n">
        <x:v>0.025</x:v>
      </x:c>
    </x:row>
    <x:row r="610">
      <x:c r="A610" s="17" t="n">
        <x:v>43677</x:v>
      </x:c>
      <x:c r="B610" s="20" t="n">
        <x:v>0.025</x:v>
      </x:c>
    </x:row>
    <x:row r="611">
      <x:c r="A611" s="17" t="n">
        <x:v>43678</x:v>
      </x:c>
      <x:c r="B611" s="20" t="n">
        <x:v>0.0225</x:v>
      </x:c>
    </x:row>
    <x:row r="612">
      <x:c r="A612" s="17" t="n">
        <x:v>43679</x:v>
      </x:c>
      <x:c r="B612" s="20" t="n">
        <x:v>0.0225</x:v>
      </x:c>
    </x:row>
    <x:row r="613">
      <x:c r="A613" s="17" t="n">
        <x:v>43680</x:v>
      </x:c>
      <x:c r="B613" s="20" t="n">
        <x:v>0.0225</x:v>
      </x:c>
    </x:row>
    <x:row r="614">
      <x:c r="A614" s="17" t="n">
        <x:v>43681</x:v>
      </x:c>
      <x:c r="B614" s="20" t="n">
        <x:v>0.0225</x:v>
      </x:c>
    </x:row>
    <x:row r="615">
      <x:c r="A615" s="17" t="n">
        <x:v>43682</x:v>
      </x:c>
      <x:c r="B615" s="20" t="n">
        <x:v>0.0225</x:v>
      </x:c>
    </x:row>
    <x:row r="616">
      <x:c r="A616" s="17" t="n">
        <x:v>43683</x:v>
      </x:c>
      <x:c r="B616" s="20" t="n">
        <x:v>0.0225</x:v>
      </x:c>
    </x:row>
    <x:row r="617">
      <x:c r="A617" s="17" t="n">
        <x:v>43684</x:v>
      </x:c>
      <x:c r="B617" s="20" t="n">
        <x:v>0.0225</x:v>
      </x:c>
    </x:row>
    <x:row r="618">
      <x:c r="A618" s="17" t="n">
        <x:v>43685</x:v>
      </x:c>
      <x:c r="B618" s="20" t="n">
        <x:v>0.0225</x:v>
      </x:c>
    </x:row>
    <x:row r="619">
      <x:c r="A619" s="17" t="n">
        <x:v>43686</x:v>
      </x:c>
      <x:c r="B619" s="20" t="n">
        <x:v>0.0225</x:v>
      </x:c>
    </x:row>
    <x:row r="620">
      <x:c r="A620" s="17" t="n">
        <x:v>43687</x:v>
      </x:c>
      <x:c r="B620" s="20" t="n">
        <x:v>0.0225</x:v>
      </x:c>
    </x:row>
    <x:row r="621">
      <x:c r="A621" s="17" t="n">
        <x:v>43688</x:v>
      </x:c>
      <x:c r="B621" s="20" t="n">
        <x:v>0.0225</x:v>
      </x:c>
    </x:row>
    <x:row r="622">
      <x:c r="A622" s="17" t="n">
        <x:v>43689</x:v>
      </x:c>
      <x:c r="B622" s="20" t="n">
        <x:v>0.0225</x:v>
      </x:c>
    </x:row>
    <x:row r="623">
      <x:c r="A623" s="17" t="n">
        <x:v>43690</x:v>
      </x:c>
      <x:c r="B623" s="20" t="n">
        <x:v>0.0225</x:v>
      </x:c>
    </x:row>
    <x:row r="624">
      <x:c r="A624" s="17" t="n">
        <x:v>43691</x:v>
      </x:c>
      <x:c r="B624" s="20" t="n">
        <x:v>0.0225</x:v>
      </x:c>
    </x:row>
    <x:row r="625">
      <x:c r="A625" s="17" t="n">
        <x:v>43692</x:v>
      </x:c>
      <x:c r="B625" s="20" t="n">
        <x:v>0.0225</x:v>
      </x:c>
    </x:row>
    <x:row r="626">
      <x:c r="A626" s="17" t="n">
        <x:v>43693</x:v>
      </x:c>
      <x:c r="B626" s="20" t="n">
        <x:v>0.0225</x:v>
      </x:c>
    </x:row>
    <x:row r="627">
      <x:c r="A627" s="17" t="n">
        <x:v>43694</x:v>
      </x:c>
      <x:c r="B627" s="20" t="n">
        <x:v>0.0225</x:v>
      </x:c>
    </x:row>
    <x:row r="628">
      <x:c r="A628" s="17" t="n">
        <x:v>43695</x:v>
      </x:c>
      <x:c r="B628" s="20" t="n">
        <x:v>0.0225</x:v>
      </x:c>
    </x:row>
    <x:row r="629">
      <x:c r="A629" s="17" t="n">
        <x:v>43696</x:v>
      </x:c>
      <x:c r="B629" s="20" t="n">
        <x:v>0.0225</x:v>
      </x:c>
    </x:row>
    <x:row r="630">
      <x:c r="A630" s="17" t="n">
        <x:v>43697</x:v>
      </x:c>
      <x:c r="B630" s="20" t="n">
        <x:v>0.0225</x:v>
      </x:c>
    </x:row>
    <x:row r="631">
      <x:c r="A631" s="17" t="n">
        <x:v>43698</x:v>
      </x:c>
      <x:c r="B631" s="20" t="n">
        <x:v>0.0225</x:v>
      </x:c>
    </x:row>
    <x:row r="632">
      <x:c r="A632" s="17" t="n">
        <x:v>43699</x:v>
      </x:c>
      <x:c r="B632" s="20" t="n">
        <x:v>0.0225</x:v>
      </x:c>
    </x:row>
    <x:row r="633">
      <x:c r="A633" s="17" t="n">
        <x:v>43700</x:v>
      </x:c>
      <x:c r="B633" s="20" t="n">
        <x:v>0.0225</x:v>
      </x:c>
    </x:row>
    <x:row r="634">
      <x:c r="A634" s="17" t="n">
        <x:v>43701</x:v>
      </x:c>
      <x:c r="B634" s="20" t="n">
        <x:v>0.0225</x:v>
      </x:c>
    </x:row>
    <x:row r="635">
      <x:c r="A635" s="17" t="n">
        <x:v>43702</x:v>
      </x:c>
      <x:c r="B635" s="20" t="n">
        <x:v>0.0225</x:v>
      </x:c>
    </x:row>
    <x:row r="636">
      <x:c r="A636" s="17" t="n">
        <x:v>43703</x:v>
      </x:c>
      <x:c r="B636" s="20" t="n">
        <x:v>0.0225</x:v>
      </x:c>
    </x:row>
    <x:row r="637">
      <x:c r="A637" s="17" t="n">
        <x:v>43704</x:v>
      </x:c>
      <x:c r="B637" s="20" t="n">
        <x:v>0.0225</x:v>
      </x:c>
    </x:row>
    <x:row r="638">
      <x:c r="A638" s="17" t="n">
        <x:v>43705</x:v>
      </x:c>
      <x:c r="B638" s="20" t="n">
        <x:v>0.0225</x:v>
      </x:c>
    </x:row>
    <x:row r="639">
      <x:c r="A639" s="17" t="n">
        <x:v>43706</x:v>
      </x:c>
      <x:c r="B639" s="20" t="n">
        <x:v>0.0225</x:v>
      </x:c>
    </x:row>
    <x:row r="640">
      <x:c r="A640" s="17" t="n">
        <x:v>43707</x:v>
      </x:c>
      <x:c r="B640" s="20" t="n">
        <x:v>0.0225</x:v>
      </x:c>
    </x:row>
    <x:row r="641">
      <x:c r="A641" s="17" t="n">
        <x:v>43708</x:v>
      </x:c>
      <x:c r="B641" s="20" t="n">
        <x:v>0.0225</x:v>
      </x:c>
    </x:row>
    <x:row r="642">
      <x:c r="A642" s="17" t="n">
        <x:v>43709</x:v>
      </x:c>
      <x:c r="B642" s="20" t="n">
        <x:v>0.0225</x:v>
      </x:c>
    </x:row>
    <x:row r="643">
      <x:c r="A643" s="17" t="n">
        <x:v>43710</x:v>
      </x:c>
      <x:c r="B643" s="20" t="n">
        <x:v>0.0225</x:v>
      </x:c>
    </x:row>
    <x:row r="644">
      <x:c r="A644" s="17" t="n">
        <x:v>43711</x:v>
      </x:c>
      <x:c r="B644" s="20" t="n">
        <x:v>0.0225</x:v>
      </x:c>
    </x:row>
    <x:row r="645">
      <x:c r="A645" s="17" t="n">
        <x:v>43712</x:v>
      </x:c>
      <x:c r="B645" s="20" t="n">
        <x:v>0.0225</x:v>
      </x:c>
    </x:row>
    <x:row r="646">
      <x:c r="A646" s="17" t="n">
        <x:v>43713</x:v>
      </x:c>
      <x:c r="B646" s="20" t="n">
        <x:v>0.0225</x:v>
      </x:c>
    </x:row>
    <x:row r="647">
      <x:c r="A647" s="17" t="n">
        <x:v>43714</x:v>
      </x:c>
      <x:c r="B647" s="20" t="n">
        <x:v>0.0225</x:v>
      </x:c>
    </x:row>
    <x:row r="648">
      <x:c r="A648" s="17" t="n">
        <x:v>43715</x:v>
      </x:c>
      <x:c r="B648" s="20" t="n">
        <x:v>0.0225</x:v>
      </x:c>
    </x:row>
    <x:row r="649">
      <x:c r="A649" s="17" t="n">
        <x:v>43716</x:v>
      </x:c>
      <x:c r="B649" s="20" t="n">
        <x:v>0.0225</x:v>
      </x:c>
    </x:row>
    <x:row r="650">
      <x:c r="A650" s="17" t="n">
        <x:v>43717</x:v>
      </x:c>
      <x:c r="B650" s="20" t="n">
        <x:v>0.0225</x:v>
      </x:c>
    </x:row>
    <x:row r="651">
      <x:c r="A651" s="17" t="n">
        <x:v>43718</x:v>
      </x:c>
      <x:c r="B651" s="20" t="n">
        <x:v>0.0225</x:v>
      </x:c>
    </x:row>
    <x:row r="652">
      <x:c r="A652" s="17" t="n">
        <x:v>43719</x:v>
      </x:c>
      <x:c r="B652" s="20" t="n">
        <x:v>0.0225</x:v>
      </x:c>
    </x:row>
    <x:row r="653">
      <x:c r="A653" s="17" t="n">
        <x:v>43720</x:v>
      </x:c>
      <x:c r="B653" s="20" t="n">
        <x:v>0.0225</x:v>
      </x:c>
    </x:row>
    <x:row r="654">
      <x:c r="A654" s="17" t="n">
        <x:v>43721</x:v>
      </x:c>
      <x:c r="B654" s="20" t="n">
        <x:v>0.0225</x:v>
      </x:c>
    </x:row>
    <x:row r="655">
      <x:c r="A655" s="17" t="n">
        <x:v>43722</x:v>
      </x:c>
      <x:c r="B655" s="20" t="n">
        <x:v>0.0225</x:v>
      </x:c>
    </x:row>
    <x:row r="656">
      <x:c r="A656" s="17" t="n">
        <x:v>43723</x:v>
      </x:c>
      <x:c r="B656" s="20" t="n">
        <x:v>0.0225</x:v>
      </x:c>
    </x:row>
    <x:row r="657">
      <x:c r="A657" s="17" t="n">
        <x:v>43724</x:v>
      </x:c>
      <x:c r="B657" s="20" t="n">
        <x:v>0.0225</x:v>
      </x:c>
    </x:row>
    <x:row r="658">
      <x:c r="A658" s="17" t="n">
        <x:v>43725</x:v>
      </x:c>
      <x:c r="B658" s="20" t="n">
        <x:v>0.0225</x:v>
      </x:c>
    </x:row>
    <x:row r="659">
      <x:c r="A659" s="17" t="n">
        <x:v>43726</x:v>
      </x:c>
      <x:c r="B659" s="20" t="n">
        <x:v>0.0225</x:v>
      </x:c>
    </x:row>
    <x:row r="660">
      <x:c r="A660" s="17" t="n">
        <x:v>43727</x:v>
      </x:c>
      <x:c r="B660" s="20" t="n">
        <x:v>0.02</x:v>
      </x:c>
    </x:row>
    <x:row r="661">
      <x:c r="A661" s="17" t="n">
        <x:v>43728</x:v>
      </x:c>
      <x:c r="B661" s="20" t="n">
        <x:v>0.02</x:v>
      </x:c>
    </x:row>
    <x:row r="662">
      <x:c r="A662" s="17" t="n">
        <x:v>43729</x:v>
      </x:c>
      <x:c r="B662" s="20" t="n">
        <x:v>0.02</x:v>
      </x:c>
    </x:row>
    <x:row r="663">
      <x:c r="A663" s="17" t="n">
        <x:v>43730</x:v>
      </x:c>
      <x:c r="B663" s="20" t="n">
        <x:v>0.02</x:v>
      </x:c>
    </x:row>
    <x:row r="664">
      <x:c r="A664" s="17" t="n">
        <x:v>43731</x:v>
      </x:c>
      <x:c r="B664" s="20" t="n">
        <x:v>0.02</x:v>
      </x:c>
    </x:row>
    <x:row r="665">
      <x:c r="A665" s="17" t="n">
        <x:v>43732</x:v>
      </x:c>
      <x:c r="B665" s="20" t="n">
        <x:v>0.02</x:v>
      </x:c>
    </x:row>
    <x:row r="666">
      <x:c r="A666" s="17" t="n">
        <x:v>43733</x:v>
      </x:c>
      <x:c r="B666" s="20" t="n">
        <x:v>0.02</x:v>
      </x:c>
    </x:row>
    <x:row r="667">
      <x:c r="A667" s="17" t="n">
        <x:v>43734</x:v>
      </x:c>
      <x:c r="B667" s="20" t="n">
        <x:v>0.02</x:v>
      </x:c>
    </x:row>
    <x:row r="668">
      <x:c r="A668" s="17" t="n">
        <x:v>43735</x:v>
      </x:c>
      <x:c r="B668" s="20" t="n">
        <x:v>0.02</x:v>
      </x:c>
    </x:row>
    <x:row r="669">
      <x:c r="A669" s="17" t="n">
        <x:v>43736</x:v>
      </x:c>
      <x:c r="B669" s="20" t="n">
        <x:v>0.02</x:v>
      </x:c>
    </x:row>
    <x:row r="670">
      <x:c r="A670" s="17" t="n">
        <x:v>43737</x:v>
      </x:c>
      <x:c r="B670" s="20" t="n">
        <x:v>0.02</x:v>
      </x:c>
    </x:row>
    <x:row r="671">
      <x:c r="A671" s="17" t="n">
        <x:v>43738</x:v>
      </x:c>
      <x:c r="B671" s="20" t="n">
        <x:v>0.02</x:v>
      </x:c>
    </x:row>
    <x:row r="672">
      <x:c r="A672" s="17" t="n">
        <x:v>43739</x:v>
      </x:c>
      <x:c r="B672" s="20" t="n">
        <x:v>0.02</x:v>
      </x:c>
    </x:row>
    <x:row r="673">
      <x:c r="A673" s="17" t="n">
        <x:v>43740</x:v>
      </x:c>
      <x:c r="B673" s="20" t="n">
        <x:v>0.02</x:v>
      </x:c>
    </x:row>
    <x:row r="674">
      <x:c r="A674" s="17" t="n">
        <x:v>43741</x:v>
      </x:c>
      <x:c r="B674" s="20" t="n">
        <x:v>0.02</x:v>
      </x:c>
    </x:row>
    <x:row r="675">
      <x:c r="A675" s="17" t="n">
        <x:v>43742</x:v>
      </x:c>
      <x:c r="B675" s="20" t="n">
        <x:v>0.02</x:v>
      </x:c>
    </x:row>
    <x:row r="676">
      <x:c r="A676" s="17" t="n">
        <x:v>43743</x:v>
      </x:c>
      <x:c r="B676" s="20" t="n">
        <x:v>0.02</x:v>
      </x:c>
    </x:row>
    <x:row r="677">
      <x:c r="A677" s="17" t="n">
        <x:v>43744</x:v>
      </x:c>
      <x:c r="B677" s="20" t="n">
        <x:v>0.02</x:v>
      </x:c>
    </x:row>
    <x:row r="678">
      <x:c r="A678" s="17" t="n">
        <x:v>43745</x:v>
      </x:c>
      <x:c r="B678" s="20" t="n">
        <x:v>0.02</x:v>
      </x:c>
    </x:row>
    <x:row r="679">
      <x:c r="A679" s="17" t="n">
        <x:v>43746</x:v>
      </x:c>
      <x:c r="B679" s="20" t="n">
        <x:v>0.02</x:v>
      </x:c>
    </x:row>
    <x:row r="680">
      <x:c r="A680" s="17" t="n">
        <x:v>43747</x:v>
      </x:c>
      <x:c r="B680" s="20" t="n">
        <x:v>0.02</x:v>
      </x:c>
    </x:row>
    <x:row r="681">
      <x:c r="A681" s="17" t="n">
        <x:v>43748</x:v>
      </x:c>
      <x:c r="B681" s="20" t="n">
        <x:v>0.02</x:v>
      </x:c>
    </x:row>
    <x:row r="682">
      <x:c r="A682" s="17" t="n">
        <x:v>43749</x:v>
      </x:c>
      <x:c r="B682" s="20" t="n">
        <x:v>0.02</x:v>
      </x:c>
    </x:row>
    <x:row r="683">
      <x:c r="A683" s="17" t="n">
        <x:v>43750</x:v>
      </x:c>
      <x:c r="B683" s="20" t="n">
        <x:v>0.02</x:v>
      </x:c>
    </x:row>
    <x:row r="684">
      <x:c r="A684" s="17" t="n">
        <x:v>43751</x:v>
      </x:c>
      <x:c r="B684" s="20" t="n">
        <x:v>0.02</x:v>
      </x:c>
    </x:row>
    <x:row r="685">
      <x:c r="A685" s="17" t="n">
        <x:v>43752</x:v>
      </x:c>
      <x:c r="B685" s="20" t="n">
        <x:v>0.02</x:v>
      </x:c>
    </x:row>
    <x:row r="686">
      <x:c r="A686" s="17" t="n">
        <x:v>43753</x:v>
      </x:c>
      <x:c r="B686" s="20" t="n">
        <x:v>0.02</x:v>
      </x:c>
    </x:row>
    <x:row r="687">
      <x:c r="A687" s="17" t="n">
        <x:v>43754</x:v>
      </x:c>
      <x:c r="B687" s="20" t="n">
        <x:v>0.02</x:v>
      </x:c>
    </x:row>
    <x:row r="688">
      <x:c r="A688" s="17" t="n">
        <x:v>43755</x:v>
      </x:c>
      <x:c r="B688" s="20" t="n">
        <x:v>0.02</x:v>
      </x:c>
    </x:row>
    <x:row r="689">
      <x:c r="A689" s="17" t="n">
        <x:v>43756</x:v>
      </x:c>
      <x:c r="B689" s="20" t="n">
        <x:v>0.02</x:v>
      </x:c>
    </x:row>
    <x:row r="690">
      <x:c r="A690" s="17" t="n">
        <x:v>43757</x:v>
      </x:c>
      <x:c r="B690" s="20" t="n">
        <x:v>0.02</x:v>
      </x:c>
    </x:row>
    <x:row r="691">
      <x:c r="A691" s="17" t="n">
        <x:v>43758</x:v>
      </x:c>
      <x:c r="B691" s="20" t="n">
        <x:v>0.02</x:v>
      </x:c>
    </x:row>
    <x:row r="692">
      <x:c r="A692" s="17" t="n">
        <x:v>43759</x:v>
      </x:c>
      <x:c r="B692" s="20" t="n">
        <x:v>0.02</x:v>
      </x:c>
    </x:row>
    <x:row r="693">
      <x:c r="A693" s="17" t="n">
        <x:v>43760</x:v>
      </x:c>
      <x:c r="B693" s="20" t="n">
        <x:v>0.02</x:v>
      </x:c>
    </x:row>
    <x:row r="694">
      <x:c r="A694" s="17" t="n">
        <x:v>43761</x:v>
      </x:c>
      <x:c r="B694" s="20" t="n">
        <x:v>0.02</x:v>
      </x:c>
    </x:row>
    <x:row r="695">
      <x:c r="A695" s="17" t="n">
        <x:v>43762</x:v>
      </x:c>
      <x:c r="B695" s="20" t="n">
        <x:v>0.02</x:v>
      </x:c>
    </x:row>
    <x:row r="696">
      <x:c r="A696" s="17" t="n">
        <x:v>43763</x:v>
      </x:c>
      <x:c r="B696" s="20" t="n">
        <x:v>0.02</x:v>
      </x:c>
    </x:row>
    <x:row r="697">
      <x:c r="A697" s="17" t="n">
        <x:v>43764</x:v>
      </x:c>
      <x:c r="B697" s="20" t="n">
        <x:v>0.02</x:v>
      </x:c>
    </x:row>
    <x:row r="698">
      <x:c r="A698" s="17" t="n">
        <x:v>43765</x:v>
      </x:c>
      <x:c r="B698" s="20" t="n">
        <x:v>0.02</x:v>
      </x:c>
    </x:row>
    <x:row r="699">
      <x:c r="A699" s="17" t="n">
        <x:v>43766</x:v>
      </x:c>
      <x:c r="B699" s="20" t="n">
        <x:v>0.02</x:v>
      </x:c>
    </x:row>
    <x:row r="700">
      <x:c r="A700" s="17" t="n">
        <x:v>43767</x:v>
      </x:c>
      <x:c r="B700" s="20" t="n">
        <x:v>0.02</x:v>
      </x:c>
    </x:row>
    <x:row r="701">
      <x:c r="A701" s="17" t="n">
        <x:v>43768</x:v>
      </x:c>
      <x:c r="B701" s="20" t="n">
        <x:v>0.02</x:v>
      </x:c>
    </x:row>
    <x:row r="702">
      <x:c r="A702" s="17" t="n">
        <x:v>43769</x:v>
      </x:c>
      <x:c r="B702" s="20" t="n">
        <x:v>0.0175</x:v>
      </x:c>
    </x:row>
    <x:row r="703">
      <x:c r="A703" s="17" t="n">
        <x:v>43770</x:v>
      </x:c>
      <x:c r="B703" s="20" t="n">
        <x:v>0.0175</x:v>
      </x:c>
    </x:row>
    <x:row r="704">
      <x:c r="A704" s="17" t="n">
        <x:v>43771</x:v>
      </x:c>
      <x:c r="B704" s="20" t="n">
        <x:v>0.0175</x:v>
      </x:c>
    </x:row>
    <x:row r="705">
      <x:c r="A705" s="17" t="n">
        <x:v>43772</x:v>
      </x:c>
      <x:c r="B705" s="20" t="n">
        <x:v>0.0175</x:v>
      </x:c>
    </x:row>
    <x:row r="706">
      <x:c r="A706" s="17" t="n">
        <x:v>43773</x:v>
      </x:c>
      <x:c r="B706" s="20" t="n">
        <x:v>0.0175</x:v>
      </x:c>
    </x:row>
    <x:row r="707">
      <x:c r="A707" s="17" t="n">
        <x:v>43774</x:v>
      </x:c>
      <x:c r="B707" s="20" t="n">
        <x:v>0.0175</x:v>
      </x:c>
    </x:row>
    <x:row r="708">
      <x:c r="A708" s="17" t="n">
        <x:v>43775</x:v>
      </x:c>
      <x:c r="B708" s="20" t="n">
        <x:v>0.0175</x:v>
      </x:c>
    </x:row>
    <x:row r="709">
      <x:c r="A709" s="17" t="n">
        <x:v>43776</x:v>
      </x:c>
      <x:c r="B709" s="20" t="n">
        <x:v>0.0175</x:v>
      </x:c>
    </x:row>
    <x:row r="710">
      <x:c r="A710" s="17" t="n">
        <x:v>43777</x:v>
      </x:c>
      <x:c r="B710" s="20" t="n">
        <x:v>0.0175</x:v>
      </x:c>
    </x:row>
    <x:row r="711">
      <x:c r="A711" s="17" t="n">
        <x:v>43778</x:v>
      </x:c>
      <x:c r="B711" s="20" t="n">
        <x:v>0.0175</x:v>
      </x:c>
    </x:row>
    <x:row r="712">
      <x:c r="A712" s="17" t="n">
        <x:v>43779</x:v>
      </x:c>
      <x:c r="B712" s="20" t="n">
        <x:v>0.0175</x:v>
      </x:c>
    </x:row>
    <x:row r="713">
      <x:c r="A713" s="17" t="n">
        <x:v>43780</x:v>
      </x:c>
      <x:c r="B713" s="20" t="n">
        <x:v>0.0175</x:v>
      </x:c>
    </x:row>
    <x:row r="714">
      <x:c r="A714" s="17" t="n">
        <x:v>43781</x:v>
      </x:c>
      <x:c r="B714" s="20" t="n">
        <x:v>0.0175</x:v>
      </x:c>
    </x:row>
    <x:row r="715">
      <x:c r="A715" s="17" t="n">
        <x:v>43782</x:v>
      </x:c>
      <x:c r="B715" s="20" t="n">
        <x:v>0.0175</x:v>
      </x:c>
    </x:row>
    <x:row r="716">
      <x:c r="A716" s="17" t="n">
        <x:v>43783</x:v>
      </x:c>
      <x:c r="B716" s="20" t="n">
        <x:v>0.0175</x:v>
      </x:c>
    </x:row>
    <x:row r="717">
      <x:c r="A717" s="17" t="n">
        <x:v>43784</x:v>
      </x:c>
      <x:c r="B717" s="20" t="n">
        <x:v>0.0175</x:v>
      </x:c>
    </x:row>
    <x:row r="718">
      <x:c r="A718" s="17" t="n">
        <x:v>43785</x:v>
      </x:c>
      <x:c r="B718" s="20" t="n">
        <x:v>0.0175</x:v>
      </x:c>
    </x:row>
    <x:row r="719">
      <x:c r="A719" s="17" t="n">
        <x:v>43786</x:v>
      </x:c>
      <x:c r="B719" s="20" t="n">
        <x:v>0.0175</x:v>
      </x:c>
    </x:row>
    <x:row r="720">
      <x:c r="A720" s="17" t="n">
        <x:v>43787</x:v>
      </x:c>
      <x:c r="B720" s="20" t="n">
        <x:v>0.0175</x:v>
      </x:c>
    </x:row>
    <x:row r="721">
      <x:c r="A721" s="17" t="n">
        <x:v>43788</x:v>
      </x:c>
      <x:c r="B721" s="20" t="n">
        <x:v>0.0175</x:v>
      </x:c>
    </x:row>
    <x:row r="722">
      <x:c r="A722" s="17" t="n">
        <x:v>43789</x:v>
      </x:c>
      <x:c r="B722" s="20" t="n">
        <x:v>0.0175</x:v>
      </x:c>
    </x:row>
    <x:row r="723">
      <x:c r="A723" s="17" t="n">
        <x:v>43790</x:v>
      </x:c>
      <x:c r="B723" s="20" t="n">
        <x:v>0.0175</x:v>
      </x:c>
    </x:row>
    <x:row r="724">
      <x:c r="A724" s="17" t="n">
        <x:v>43791</x:v>
      </x:c>
      <x:c r="B724" s="20" t="n">
        <x:v>0.0175</x:v>
      </x:c>
    </x:row>
    <x:row r="725">
      <x:c r="A725" s="17" t="n">
        <x:v>43792</x:v>
      </x:c>
      <x:c r="B725" s="20" t="n">
        <x:v>0.0175</x:v>
      </x:c>
    </x:row>
    <x:row r="726">
      <x:c r="A726" s="17" t="n">
        <x:v>43793</x:v>
      </x:c>
      <x:c r="B726" s="20" t="n">
        <x:v>0.0175</x:v>
      </x:c>
    </x:row>
    <x:row r="727">
      <x:c r="A727" s="17" t="n">
        <x:v>43794</x:v>
      </x:c>
      <x:c r="B727" s="20" t="n">
        <x:v>0.0175</x:v>
      </x:c>
    </x:row>
    <x:row r="728">
      <x:c r="A728" s="17" t="n">
        <x:v>43795</x:v>
      </x:c>
      <x:c r="B728" s="20" t="n">
        <x:v>0.0175</x:v>
      </x:c>
    </x:row>
    <x:row r="729">
      <x:c r="A729" s="17" t="n">
        <x:v>43796</x:v>
      </x:c>
      <x:c r="B729" s="20" t="n">
        <x:v>0.0175</x:v>
      </x:c>
    </x:row>
    <x:row r="730">
      <x:c r="A730" s="17" t="n">
        <x:v>43797</x:v>
      </x:c>
      <x:c r="B730" s="20" t="n">
        <x:v>0.0175</x:v>
      </x:c>
    </x:row>
    <x:row r="731">
      <x:c r="A731" s="17" t="n">
        <x:v>43798</x:v>
      </x:c>
      <x:c r="B731" s="20" t="n">
        <x:v>0.0175</x:v>
      </x:c>
    </x:row>
    <x:row r="732">
      <x:c r="A732" s="17" t="n">
        <x:v>43799</x:v>
      </x:c>
      <x:c r="B732" s="20" t="n">
        <x:v>0.0175</x:v>
      </x:c>
    </x:row>
    <x:row r="733">
      <x:c r="A733" s="17" t="n">
        <x:v>43800</x:v>
      </x:c>
      <x:c r="B733" s="20" t="n">
        <x:v>0.0175</x:v>
      </x:c>
    </x:row>
    <x:row r="734">
      <x:c r="A734" s="17" t="n">
        <x:v>43801</x:v>
      </x:c>
      <x:c r="B734" s="20" t="n">
        <x:v>0.0175</x:v>
      </x:c>
    </x:row>
    <x:row r="735">
      <x:c r="A735" s="17" t="n">
        <x:v>43802</x:v>
      </x:c>
      <x:c r="B735" s="20" t="n">
        <x:v>0.0175</x:v>
      </x:c>
    </x:row>
    <x:row r="736">
      <x:c r="A736" s="17" t="n">
        <x:v>43803</x:v>
      </x:c>
      <x:c r="B736" s="20" t="n">
        <x:v>0.0175</x:v>
      </x:c>
    </x:row>
    <x:row r="737">
      <x:c r="A737" s="17" t="n">
        <x:v>43804</x:v>
      </x:c>
      <x:c r="B737" s="20" t="n">
        <x:v>0.0175</x:v>
      </x:c>
    </x:row>
    <x:row r="738">
      <x:c r="A738" s="17" t="n">
        <x:v>43805</x:v>
      </x:c>
      <x:c r="B738" s="20" t="n">
        <x:v>0.0175</x:v>
      </x:c>
    </x:row>
    <x:row r="739">
      <x:c r="A739" s="17" t="n">
        <x:v>43806</x:v>
      </x:c>
      <x:c r="B739" s="20" t="n">
        <x:v>0.0175</x:v>
      </x:c>
    </x:row>
    <x:row r="740">
      <x:c r="A740" s="17" t="n">
        <x:v>43807</x:v>
      </x:c>
      <x:c r="B740" s="20" t="n">
        <x:v>0.0175</x:v>
      </x:c>
    </x:row>
    <x:row r="741">
      <x:c r="A741" s="17" t="n">
        <x:v>43808</x:v>
      </x:c>
      <x:c r="B741" s="20" t="n">
        <x:v>0.0175</x:v>
      </x:c>
    </x:row>
    <x:row r="742">
      <x:c r="A742" s="17" t="n">
        <x:v>43809</x:v>
      </x:c>
      <x:c r="B742" s="20" t="n">
        <x:v>0.0175</x:v>
      </x:c>
    </x:row>
    <x:row r="743">
      <x:c r="A743" s="17" t="n">
        <x:v>43810</x:v>
      </x:c>
      <x:c r="B743" s="20" t="n">
        <x:v>0.0175</x:v>
      </x:c>
    </x:row>
    <x:row r="744">
      <x:c r="A744" s="17" t="n">
        <x:v>43811</x:v>
      </x:c>
      <x:c r="B744" s="20" t="n">
        <x:v>0.0175</x:v>
      </x:c>
    </x:row>
    <x:row r="745">
      <x:c r="A745" s="17" t="n">
        <x:v>43812</x:v>
      </x:c>
      <x:c r="B745" s="20" t="n">
        <x:v>0.0175</x:v>
      </x:c>
    </x:row>
    <x:row r="746">
      <x:c r="A746" s="17" t="n">
        <x:v>43813</x:v>
      </x:c>
      <x:c r="B746" s="20" t="n">
        <x:v>0.0175</x:v>
      </x:c>
    </x:row>
    <x:row r="747">
      <x:c r="A747" s="17" t="n">
        <x:v>43814</x:v>
      </x:c>
      <x:c r="B747" s="20" t="n">
        <x:v>0.0175</x:v>
      </x:c>
    </x:row>
    <x:row r="748">
      <x:c r="A748" s="17" t="n">
        <x:v>43815</x:v>
      </x:c>
      <x:c r="B748" s="20" t="n">
        <x:v>0.0175</x:v>
      </x:c>
    </x:row>
    <x:row r="749">
      <x:c r="A749" s="17" t="n">
        <x:v>43816</x:v>
      </x:c>
      <x:c r="B749" s="20" t="n">
        <x:v>0.0175</x:v>
      </x:c>
    </x:row>
    <x:row r="750">
      <x:c r="A750" s="17" t="n">
        <x:v>43817</x:v>
      </x:c>
      <x:c r="B750" s="20" t="n">
        <x:v>0.0175</x:v>
      </x:c>
    </x:row>
    <x:row r="751">
      <x:c r="A751" s="17" t="n">
        <x:v>43818</x:v>
      </x:c>
      <x:c r="B751" s="20" t="n">
        <x:v>0.0175</x:v>
      </x:c>
    </x:row>
    <x:row r="752">
      <x:c r="A752" s="17" t="n">
        <x:v>43819</x:v>
      </x:c>
      <x:c r="B752" s="20" t="n">
        <x:v>0.0175</x:v>
      </x:c>
    </x:row>
    <x:row r="753">
      <x:c r="A753" s="17" t="n">
        <x:v>43820</x:v>
      </x:c>
      <x:c r="B753" s="20" t="n">
        <x:v>0.0175</x:v>
      </x:c>
    </x:row>
    <x:row r="754">
      <x:c r="A754" s="17" t="n">
        <x:v>43821</x:v>
      </x:c>
      <x:c r="B754" s="20" t="n">
        <x:v>0.0175</x:v>
      </x:c>
    </x:row>
    <x:row r="755">
      <x:c r="A755" s="17" t="n">
        <x:v>43822</x:v>
      </x:c>
      <x:c r="B755" s="20" t="n">
        <x:v>0.0175</x:v>
      </x:c>
    </x:row>
    <x:row r="756">
      <x:c r="A756" s="17" t="n">
        <x:v>43823</x:v>
      </x:c>
      <x:c r="B756" s="20" t="n">
        <x:v>0.0175</x:v>
      </x:c>
    </x:row>
    <x:row r="757">
      <x:c r="A757" s="17" t="n">
        <x:v>43824</x:v>
      </x:c>
      <x:c r="B757" s="20" t="n">
        <x:v>0.0175</x:v>
      </x:c>
    </x:row>
    <x:row r="758">
      <x:c r="A758" s="17" t="n">
        <x:v>43825</x:v>
      </x:c>
      <x:c r="B758" s="20" t="n">
        <x:v>0.0175</x:v>
      </x:c>
    </x:row>
    <x:row r="759">
      <x:c r="A759" s="17" t="n">
        <x:v>43826</x:v>
      </x:c>
      <x:c r="B759" s="20" t="n">
        <x:v>0.0175</x:v>
      </x:c>
    </x:row>
    <x:row r="760">
      <x:c r="A760" s="17" t="n">
        <x:v>43827</x:v>
      </x:c>
      <x:c r="B760" s="20" t="n">
        <x:v>0.0175</x:v>
      </x:c>
    </x:row>
    <x:row r="761">
      <x:c r="A761" s="17" t="n">
        <x:v>43828</x:v>
      </x:c>
      <x:c r="B761" s="20" t="n">
        <x:v>0.0175</x:v>
      </x:c>
    </x:row>
    <x:row r="762">
      <x:c r="A762" s="17" t="n">
        <x:v>43829</x:v>
      </x:c>
      <x:c r="B762" s="20" t="n">
        <x:v>0.0175</x:v>
      </x:c>
    </x:row>
    <x:row r="763">
      <x:c r="A763" s="17" t="n">
        <x:v>43830</x:v>
      </x:c>
      <x:c r="B763" s="20" t="n">
        <x:v>0.0175</x:v>
      </x:c>
    </x:row>
    <x:row r="764">
      <x:c r="A764" s="17" t="n">
        <x:v>43831</x:v>
      </x:c>
      <x:c r="B764" s="20" t="n">
        <x:v>0.0175</x:v>
      </x:c>
    </x:row>
    <x:row r="765">
      <x:c r="A765" s="17" t="n">
        <x:v>43832</x:v>
      </x:c>
      <x:c r="B765" s="20" t="n">
        <x:v>0.0175</x:v>
      </x:c>
    </x:row>
    <x:row r="766">
      <x:c r="A766" s="17" t="n">
        <x:v>43833</x:v>
      </x:c>
      <x:c r="B766" s="20" t="n">
        <x:v>0.0175</x:v>
      </x:c>
    </x:row>
    <x:row r="767">
      <x:c r="A767" s="17" t="n">
        <x:v>43834</x:v>
      </x:c>
      <x:c r="B767" s="20" t="n">
        <x:v>0.0175</x:v>
      </x:c>
    </x:row>
    <x:row r="768">
      <x:c r="A768" s="17" t="n">
        <x:v>43835</x:v>
      </x:c>
      <x:c r="B768" s="20" t="n">
        <x:v>0.0175</x:v>
      </x:c>
    </x:row>
    <x:row r="769">
      <x:c r="A769" s="17" t="n">
        <x:v>43836</x:v>
      </x:c>
      <x:c r="B769" s="20" t="n">
        <x:v>0.0175</x:v>
      </x:c>
    </x:row>
    <x:row r="770">
      <x:c r="A770" s="17" t="n">
        <x:v>43837</x:v>
      </x:c>
      <x:c r="B770" s="20" t="n">
        <x:v>0.0175</x:v>
      </x:c>
    </x:row>
    <x:row r="771">
      <x:c r="A771" s="17" t="n">
        <x:v>43838</x:v>
      </x:c>
      <x:c r="B771" s="20" t="n">
        <x:v>0.0175</x:v>
      </x:c>
    </x:row>
    <x:row r="772">
      <x:c r="A772" s="17" t="n">
        <x:v>43839</x:v>
      </x:c>
      <x:c r="B772" s="20" t="n">
        <x:v>0.0175</x:v>
      </x:c>
    </x:row>
    <x:row r="773">
      <x:c r="A773" s="17" t="n">
        <x:v>43840</x:v>
      </x:c>
      <x:c r="B773" s="20" t="n">
        <x:v>0.0175</x:v>
      </x:c>
    </x:row>
    <x:row r="774">
      <x:c r="A774" s="17" t="n">
        <x:v>43841</x:v>
      </x:c>
      <x:c r="B774" s="20" t="n">
        <x:v>0.0175</x:v>
      </x:c>
    </x:row>
    <x:row r="775">
      <x:c r="A775" s="17" t="n">
        <x:v>43842</x:v>
      </x:c>
      <x:c r="B775" s="20" t="n">
        <x:v>0.0175</x:v>
      </x:c>
    </x:row>
    <x:row r="776">
      <x:c r="A776" s="17" t="n">
        <x:v>43843</x:v>
      </x:c>
      <x:c r="B776" s="20" t="n">
        <x:v>0.0175</x:v>
      </x:c>
    </x:row>
    <x:row r="777">
      <x:c r="A777" s="17" t="n">
        <x:v>43844</x:v>
      </x:c>
      <x:c r="B777" s="20" t="n">
        <x:v>0.0175</x:v>
      </x:c>
    </x:row>
    <x:row r="778">
      <x:c r="A778" s="17" t="n">
        <x:v>43845</x:v>
      </x:c>
      <x:c r="B778" s="20" t="n">
        <x:v>0.0175</x:v>
      </x:c>
    </x:row>
    <x:row r="779">
      <x:c r="A779" s="17" t="n">
        <x:v>43846</x:v>
      </x:c>
      <x:c r="B779" s="20" t="n">
        <x:v>0.0175</x:v>
      </x:c>
    </x:row>
    <x:row r="780">
      <x:c r="A780" s="17" t="n">
        <x:v>43847</x:v>
      </x:c>
      <x:c r="B780" s="20" t="n">
        <x:v>0.0175</x:v>
      </x:c>
    </x:row>
    <x:row r="781">
      <x:c r="A781" s="17" t="n">
        <x:v>43848</x:v>
      </x:c>
      <x:c r="B781" s="20" t="n">
        <x:v>0.0175</x:v>
      </x:c>
    </x:row>
    <x:row r="782">
      <x:c r="A782" s="17" t="n">
        <x:v>43849</x:v>
      </x:c>
      <x:c r="B782" s="20" t="n">
        <x:v>0.0175</x:v>
      </x:c>
    </x:row>
    <x:row r="783">
      <x:c r="A783" s="17" t="n">
        <x:v>43850</x:v>
      </x:c>
      <x:c r="B783" s="20" t="n">
        <x:v>0.0175</x:v>
      </x:c>
    </x:row>
    <x:row r="784">
      <x:c r="A784" s="17" t="n">
        <x:v>43851</x:v>
      </x:c>
      <x:c r="B784" s="20" t="n">
        <x:v>0.0175</x:v>
      </x:c>
    </x:row>
    <x:row r="785">
      <x:c r="A785" s="17" t="n">
        <x:v>43852</x:v>
      </x:c>
      <x:c r="B785" s="20" t="n">
        <x:v>0.0175</x:v>
      </x:c>
    </x:row>
    <x:row r="786">
      <x:c r="A786" s="17" t="n">
        <x:v>43853</x:v>
      </x:c>
      <x:c r="B786" s="20" t="n">
        <x:v>0.0175</x:v>
      </x:c>
    </x:row>
    <x:row r="787">
      <x:c r="A787" s="17" t="n">
        <x:v>43854</x:v>
      </x:c>
      <x:c r="B787" s="20" t="n">
        <x:v>0.0175</x:v>
      </x:c>
    </x:row>
    <x:row r="788">
      <x:c r="A788" s="17" t="n">
        <x:v>43855</x:v>
      </x:c>
      <x:c r="B788" s="20" t="n">
        <x:v>0.0175</x:v>
      </x:c>
    </x:row>
    <x:row r="789">
      <x:c r="A789" s="17" t="n">
        <x:v>43856</x:v>
      </x:c>
      <x:c r="B789" s="20" t="n">
        <x:v>0.0175</x:v>
      </x:c>
    </x:row>
    <x:row r="790">
      <x:c r="A790" s="17" t="n">
        <x:v>43857</x:v>
      </x:c>
      <x:c r="B790" s="20" t="n">
        <x:v>0.0175</x:v>
      </x:c>
    </x:row>
    <x:row r="791">
      <x:c r="A791" s="17" t="n">
        <x:v>43858</x:v>
      </x:c>
      <x:c r="B791" s="20" t="n">
        <x:v>0.0175</x:v>
      </x:c>
    </x:row>
    <x:row r="792">
      <x:c r="A792" s="17" t="n">
        <x:v>43859</x:v>
      </x:c>
      <x:c r="B792" s="20" t="n">
        <x:v>0.0175</x:v>
      </x:c>
    </x:row>
    <x:row r="793">
      <x:c r="A793" s="17" t="n">
        <x:v>43860</x:v>
      </x:c>
      <x:c r="B793" s="20" t="n">
        <x:v>0.0175</x:v>
      </x:c>
    </x:row>
    <x:row r="794">
      <x:c r="A794" s="17" t="n">
        <x:v>43861</x:v>
      </x:c>
      <x:c r="B794" s="20" t="n">
        <x:v>0.0175</x:v>
      </x:c>
    </x:row>
    <x:row r="795">
      <x:c r="A795" s="17" t="n">
        <x:v>43862</x:v>
      </x:c>
      <x:c r="B795" s="20" t="n">
        <x:v>0.0175</x:v>
      </x:c>
    </x:row>
    <x:row r="796">
      <x:c r="A796" s="17" t="n">
        <x:v>43863</x:v>
      </x:c>
      <x:c r="B796" s="20" t="n">
        <x:v>0.0175</x:v>
      </x:c>
    </x:row>
    <x:row r="797">
      <x:c r="A797" s="17" t="n">
        <x:v>43864</x:v>
      </x:c>
      <x:c r="B797" s="20" t="n">
        <x:v>0.0175</x:v>
      </x:c>
    </x:row>
    <x:row r="798">
      <x:c r="A798" s="17" t="n">
        <x:v>43865</x:v>
      </x:c>
      <x:c r="B798" s="20" t="n">
        <x:v>0.0175</x:v>
      </x:c>
    </x:row>
    <x:row r="799">
      <x:c r="A799" s="17" t="n">
        <x:v>43866</x:v>
      </x:c>
      <x:c r="B799" s="20" t="n">
        <x:v>0.0175</x:v>
      </x:c>
    </x:row>
    <x:row r="800">
      <x:c r="A800" s="17" t="n">
        <x:v>43867</x:v>
      </x:c>
      <x:c r="B800" s="20" t="n">
        <x:v>0.0175</x:v>
      </x:c>
    </x:row>
    <x:row r="801">
      <x:c r="A801" s="17" t="n">
        <x:v>43868</x:v>
      </x:c>
      <x:c r="B801" s="20" t="n">
        <x:v>0.0175</x:v>
      </x:c>
    </x:row>
    <x:row r="802">
      <x:c r="A802" s="17" t="n">
        <x:v>43869</x:v>
      </x:c>
      <x:c r="B802" s="20" t="n">
        <x:v>0.0175</x:v>
      </x:c>
    </x:row>
    <x:row r="803">
      <x:c r="A803" s="17" t="n">
        <x:v>43870</x:v>
      </x:c>
      <x:c r="B803" s="20" t="n">
        <x:v>0.0175</x:v>
      </x:c>
    </x:row>
    <x:row r="804">
      <x:c r="A804" s="17" t="n">
        <x:v>43871</x:v>
      </x:c>
      <x:c r="B804" s="20" t="n">
        <x:v>0.0175</x:v>
      </x:c>
    </x:row>
    <x:row r="805">
      <x:c r="A805" s="17" t="n">
        <x:v>43872</x:v>
      </x:c>
      <x:c r="B805" s="20" t="n">
        <x:v>0.0175</x:v>
      </x:c>
    </x:row>
    <x:row r="806">
      <x:c r="A806" s="17" t="n">
        <x:v>43873</x:v>
      </x:c>
      <x:c r="B806" s="20" t="n">
        <x:v>0.0175</x:v>
      </x:c>
    </x:row>
    <x:row r="807">
      <x:c r="A807" s="17" t="n">
        <x:v>43874</x:v>
      </x:c>
      <x:c r="B807" s="20" t="n">
        <x:v>0.0175</x:v>
      </x:c>
    </x:row>
    <x:row r="808">
      <x:c r="A808" s="17" t="n">
        <x:v>43875</x:v>
      </x:c>
      <x:c r="B808" s="20" t="n">
        <x:v>0.0175</x:v>
      </x:c>
    </x:row>
    <x:row r="809">
      <x:c r="A809" s="17" t="n">
        <x:v>43876</x:v>
      </x:c>
      <x:c r="B809" s="20" t="n">
        <x:v>0.0175</x:v>
      </x:c>
    </x:row>
    <x:row r="810">
      <x:c r="A810" s="17" t="n">
        <x:v>43877</x:v>
      </x:c>
      <x:c r="B810" s="20" t="n">
        <x:v>0.0175</x:v>
      </x:c>
    </x:row>
    <x:row r="811">
      <x:c r="A811" s="17" t="n">
        <x:v>43878</x:v>
      </x:c>
      <x:c r="B811" s="20" t="n">
        <x:v>0.0175</x:v>
      </x:c>
    </x:row>
    <x:row r="812">
      <x:c r="A812" s="17" t="n">
        <x:v>43879</x:v>
      </x:c>
      <x:c r="B812" s="20" t="n">
        <x:v>0.0175</x:v>
      </x:c>
    </x:row>
    <x:row r="813">
      <x:c r="A813" s="17" t="n">
        <x:v>43880</x:v>
      </x:c>
      <x:c r="B813" s="20" t="n">
        <x:v>0.0175</x:v>
      </x:c>
    </x:row>
    <x:row r="814">
      <x:c r="A814" s="17" t="n">
        <x:v>43881</x:v>
      </x:c>
      <x:c r="B814" s="20" t="n">
        <x:v>0.0175</x:v>
      </x:c>
    </x:row>
    <x:row r="815">
      <x:c r="A815" s="17" t="n">
        <x:v>43882</x:v>
      </x:c>
      <x:c r="B815" s="20" t="n">
        <x:v>0.0175</x:v>
      </x:c>
    </x:row>
    <x:row r="816">
      <x:c r="A816" s="17" t="n">
        <x:v>43883</x:v>
      </x:c>
      <x:c r="B816" s="20" t="n">
        <x:v>0.0175</x:v>
      </x:c>
    </x:row>
    <x:row r="817">
      <x:c r="A817" s="17" t="n">
        <x:v>43884</x:v>
      </x:c>
      <x:c r="B817" s="20" t="n">
        <x:v>0.0175</x:v>
      </x:c>
    </x:row>
    <x:row r="818">
      <x:c r="A818" s="17" t="n">
        <x:v>43885</x:v>
      </x:c>
      <x:c r="B818" s="20" t="n">
        <x:v>0.0175</x:v>
      </x:c>
    </x:row>
    <x:row r="819">
      <x:c r="A819" s="17" t="n">
        <x:v>43886</x:v>
      </x:c>
      <x:c r="B819" s="20" t="n">
        <x:v>0.0175</x:v>
      </x:c>
    </x:row>
    <x:row r="820">
      <x:c r="A820" s="17" t="n">
        <x:v>43887</x:v>
      </x:c>
      <x:c r="B820" s="20" t="n">
        <x:v>0.0175</x:v>
      </x:c>
    </x:row>
    <x:row r="821">
      <x:c r="A821" s="17" t="n">
        <x:v>43888</x:v>
      </x:c>
      <x:c r="B821" s="20" t="n">
        <x:v>0.0175</x:v>
      </x:c>
    </x:row>
    <x:row r="822">
      <x:c r="A822" s="17" t="n">
        <x:v>43889</x:v>
      </x:c>
      <x:c r="B822" s="20" t="n">
        <x:v>0.0175</x:v>
      </x:c>
    </x:row>
    <x:row r="823">
      <x:c r="A823" s="17" t="n">
        <x:v>43890</x:v>
      </x:c>
      <x:c r="B823" s="20" t="n">
        <x:v>0.0175</x:v>
      </x:c>
    </x:row>
    <x:row r="824">
      <x:c r="A824" s="17" t="n">
        <x:v>43891</x:v>
      </x:c>
      <x:c r="B824" s="20" t="n">
        <x:v>0.0175</x:v>
      </x:c>
    </x:row>
    <x:row r="825">
      <x:c r="A825" s="17" t="n">
        <x:v>43892</x:v>
      </x:c>
      <x:c r="B825" s="20" t="n">
        <x:v>0.0175</x:v>
      </x:c>
    </x:row>
    <x:row r="826">
      <x:c r="A826" s="17" t="n">
        <x:v>43893</x:v>
      </x:c>
      <x:c r="B826" s="20" t="n">
        <x:v>0.0175</x:v>
      </x:c>
    </x:row>
    <x:row r="827">
      <x:c r="A827" s="17" t="n">
        <x:v>43894</x:v>
      </x:c>
      <x:c r="B827" s="20" t="n">
        <x:v>0.0125</x:v>
      </x:c>
    </x:row>
    <x:row r="828">
      <x:c r="A828" s="17" t="n">
        <x:v>43895</x:v>
      </x:c>
      <x:c r="B828" s="20" t="n">
        <x:v>0.0125</x:v>
      </x:c>
    </x:row>
    <x:row r="829">
      <x:c r="A829" s="17" t="n">
        <x:v>43896</x:v>
      </x:c>
      <x:c r="B829" s="20" t="n">
        <x:v>0.0125</x:v>
      </x:c>
    </x:row>
    <x:row r="830">
      <x:c r="A830" s="17" t="n">
        <x:v>43897</x:v>
      </x:c>
      <x:c r="B830" s="20" t="n">
        <x:v>0.0125</x:v>
      </x:c>
    </x:row>
    <x:row r="831">
      <x:c r="A831" s="17" t="n">
        <x:v>43898</x:v>
      </x:c>
      <x:c r="B831" s="20" t="n">
        <x:v>0.0125</x:v>
      </x:c>
    </x:row>
    <x:row r="832">
      <x:c r="A832" s="17" t="n">
        <x:v>43899</x:v>
      </x:c>
      <x:c r="B832" s="20" t="n">
        <x:v>0.0125</x:v>
      </x:c>
    </x:row>
    <x:row r="833">
      <x:c r="A833" s="17" t="n">
        <x:v>43900</x:v>
      </x:c>
      <x:c r="B833" s="20" t="n">
        <x:v>0.0125</x:v>
      </x:c>
    </x:row>
    <x:row r="834">
      <x:c r="A834" s="17" t="n">
        <x:v>43901</x:v>
      </x:c>
      <x:c r="B834" s="20" t="n">
        <x:v>0.0125</x:v>
      </x:c>
    </x:row>
    <x:row r="835">
      <x:c r="A835" s="17" t="n">
        <x:v>43902</x:v>
      </x:c>
      <x:c r="B835" s="20" t="n">
        <x:v>0.0125</x:v>
      </x:c>
    </x:row>
    <x:row r="836">
      <x:c r="A836" s="17" t="n">
        <x:v>43903</x:v>
      </x:c>
      <x:c r="B836" s="20" t="n">
        <x:v>0.0125</x:v>
      </x:c>
    </x:row>
    <x:row r="837">
      <x:c r="A837" s="17" t="n">
        <x:v>43904</x:v>
      </x:c>
      <x:c r="B837" s="20" t="n">
        <x:v>0.0125</x:v>
      </x:c>
    </x:row>
    <x:row r="838">
      <x:c r="A838" s="17" t="n">
        <x:v>43905</x:v>
      </x:c>
      <x:c r="B838" s="20" t="n">
        <x:v>0.0125</x:v>
      </x:c>
    </x:row>
    <x:row r="839">
      <x:c r="A839" s="17" t="n">
        <x:v>43906</x:v>
      </x:c>
      <x:c r="B839" s="20" t="n">
        <x:v>0.0025</x:v>
      </x:c>
    </x:row>
    <x:row r="840">
      <x:c r="A840" s="17" t="n">
        <x:v>43907</x:v>
      </x:c>
      <x:c r="B840" s="20" t="n">
        <x:v>0.0025</x:v>
      </x:c>
    </x:row>
    <x:row r="841">
      <x:c r="A841" s="17" t="n">
        <x:v>43908</x:v>
      </x:c>
      <x:c r="B841" s="20" t="n">
        <x:v>0.0025</x:v>
      </x:c>
    </x:row>
    <x:row r="842">
      <x:c r="A842" s="17" t="n">
        <x:v>43909</x:v>
      </x:c>
      <x:c r="B842" s="20" t="n">
        <x:v>0.0025</x:v>
      </x:c>
    </x:row>
    <x:row r="843">
      <x:c r="A843" s="17" t="n">
        <x:v>43910</x:v>
      </x:c>
      <x:c r="B843" s="20" t="n">
        <x:v>0.0025</x:v>
      </x:c>
    </x:row>
    <x:row r="844">
      <x:c r="A844" s="17" t="n">
        <x:v>43911</x:v>
      </x:c>
      <x:c r="B844" s="20" t="n">
        <x:v>0.0025</x:v>
      </x:c>
    </x:row>
    <x:row r="845">
      <x:c r="A845" s="17" t="n">
        <x:v>43912</x:v>
      </x:c>
      <x:c r="B845" s="20" t="n">
        <x:v>0.0025</x:v>
      </x:c>
    </x:row>
    <x:row r="846">
      <x:c r="A846" s="17" t="n">
        <x:v>43913</x:v>
      </x:c>
      <x:c r="B846" s="20" t="n">
        <x:v>0.0025</x:v>
      </x:c>
    </x:row>
    <x:row r="847">
      <x:c r="A847" s="17" t="n">
        <x:v>43914</x:v>
      </x:c>
      <x:c r="B847" s="20" t="n">
        <x:v>0.0025</x:v>
      </x:c>
    </x:row>
    <x:row r="848">
      <x:c r="A848" s="17" t="n">
        <x:v>43915</x:v>
      </x:c>
      <x:c r="B848" s="20" t="n">
        <x:v>0.0025</x:v>
      </x:c>
    </x:row>
    <x:row r="849">
      <x:c r="A849" s="17" t="n">
        <x:v>43916</x:v>
      </x:c>
      <x:c r="B849" s="20" t="n">
        <x:v>0.0025</x:v>
      </x:c>
    </x:row>
    <x:row r="850">
      <x:c r="A850" s="17" t="n">
        <x:v>43917</x:v>
      </x:c>
      <x:c r="B850" s="20" t="n">
        <x:v>0.0025</x:v>
      </x:c>
    </x:row>
    <x:row r="851">
      <x:c r="A851" s="17" t="n">
        <x:v>43918</x:v>
      </x:c>
      <x:c r="B851" s="20" t="n">
        <x:v>0.0025</x:v>
      </x:c>
    </x:row>
    <x:row r="852">
      <x:c r="A852" s="17" t="n">
        <x:v>43919</x:v>
      </x:c>
      <x:c r="B852" s="20" t="n">
        <x:v>0.0025</x:v>
      </x:c>
    </x:row>
    <x:row r="853">
      <x:c r="A853" s="17" t="n">
        <x:v>43920</x:v>
      </x:c>
      <x:c r="B853" s="20" t="n">
        <x:v>0.0025</x:v>
      </x:c>
    </x:row>
    <x:row r="854">
      <x:c r="A854" s="17" t="n">
        <x:v>43921</x:v>
      </x:c>
      <x:c r="B854" s="20" t="n">
        <x:v>0.0025</x:v>
      </x:c>
    </x:row>
    <x:row r="855">
      <x:c r="A855" s="17" t="n">
        <x:v>43922</x:v>
      </x:c>
      <x:c r="B855" s="20" t="n">
        <x:v>0.0025</x:v>
      </x:c>
    </x:row>
    <x:row r="856">
      <x:c r="A856" s="17" t="n">
        <x:v>43923</x:v>
      </x:c>
      <x:c r="B856" s="20" t="n">
        <x:v>0.0025</x:v>
      </x:c>
    </x:row>
    <x:row r="857">
      <x:c r="A857" s="17" t="n">
        <x:v>43924</x:v>
      </x:c>
      <x:c r="B857" s="20" t="n">
        <x:v>0.0025</x:v>
      </x:c>
    </x:row>
    <x:row r="858">
      <x:c r="A858" s="17" t="n">
        <x:v>43925</x:v>
      </x:c>
      <x:c r="B858" s="20" t="n">
        <x:v>0.0025</x:v>
      </x:c>
    </x:row>
    <x:row r="859">
      <x:c r="A859" s="17" t="n">
        <x:v>43926</x:v>
      </x:c>
      <x:c r="B859" s="20" t="n">
        <x:v>0.0025</x:v>
      </x:c>
    </x:row>
    <x:row r="860">
      <x:c r="A860" s="17" t="n">
        <x:v>43927</x:v>
      </x:c>
      <x:c r="B860" s="20" t="n">
        <x:v>0.0025</x:v>
      </x:c>
    </x:row>
    <x:row r="861">
      <x:c r="A861" s="17" t="n">
        <x:v>43928</x:v>
      </x:c>
      <x:c r="B861" s="20" t="n">
        <x:v>0.0025</x:v>
      </x:c>
    </x:row>
    <x:row r="862">
      <x:c r="A862" s="17" t="n">
        <x:v>43929</x:v>
      </x:c>
      <x:c r="B862" s="20" t="n">
        <x:v>0.0025</x:v>
      </x:c>
    </x:row>
    <x:row r="863">
      <x:c r="A863" s="17" t="n">
        <x:v>43930</x:v>
      </x:c>
      <x:c r="B863" s="20" t="n">
        <x:v>0.0025</x:v>
      </x:c>
    </x:row>
    <x:row r="864">
      <x:c r="A864" s="17" t="n">
        <x:v>43931</x:v>
      </x:c>
      <x:c r="B864" s="20" t="n">
        <x:v>0.0025</x:v>
      </x:c>
    </x:row>
    <x:row r="865">
      <x:c r="A865" s="17" t="n">
        <x:v>43932</x:v>
      </x:c>
      <x:c r="B865" s="20" t="n">
        <x:v>0.0025</x:v>
      </x:c>
    </x:row>
    <x:row r="866">
      <x:c r="A866" s="17" t="n">
        <x:v>43933</x:v>
      </x:c>
      <x:c r="B866" s="20" t="n">
        <x:v>0.0025</x:v>
      </x:c>
    </x:row>
    <x:row r="867">
      <x:c r="A867" s="17" t="n">
        <x:v>43934</x:v>
      </x:c>
      <x:c r="B867" s="20" t="n">
        <x:v>0.0025</x:v>
      </x:c>
    </x:row>
    <x:row r="868">
      <x:c r="A868" s="17" t="n">
        <x:v>43935</x:v>
      </x:c>
      <x:c r="B868" s="20" t="n">
        <x:v>0.0025</x:v>
      </x:c>
    </x:row>
    <x:row r="869">
      <x:c r="A869" s="17" t="n">
        <x:v>43936</x:v>
      </x:c>
      <x:c r="B869" s="20" t="n">
        <x:v>0.0025</x:v>
      </x:c>
    </x:row>
    <x:row r="870">
      <x:c r="A870" s="17" t="n">
        <x:v>43937</x:v>
      </x:c>
      <x:c r="B870" s="20" t="n">
        <x:v>0.0025</x:v>
      </x:c>
    </x:row>
    <x:row r="871">
      <x:c r="A871" s="17" t="n">
        <x:v>43938</x:v>
      </x:c>
      <x:c r="B871" s="20" t="n">
        <x:v>0.0025</x:v>
      </x:c>
    </x:row>
    <x:row r="872">
      <x:c r="A872" s="17" t="n">
        <x:v>43939</x:v>
      </x:c>
      <x:c r="B872" s="20" t="n">
        <x:v>0.0025</x:v>
      </x:c>
    </x:row>
    <x:row r="873">
      <x:c r="A873" s="17" t="n">
        <x:v>43940</x:v>
      </x:c>
      <x:c r="B873" s="20" t="n">
        <x:v>0.0025</x:v>
      </x:c>
    </x:row>
    <x:row r="874">
      <x:c r="A874" s="17" t="n">
        <x:v>43941</x:v>
      </x:c>
      <x:c r="B874" s="20" t="n">
        <x:v>0.0025</x:v>
      </x:c>
    </x:row>
    <x:row r="875">
      <x:c r="A875" s="17" t="n">
        <x:v>43942</x:v>
      </x:c>
      <x:c r="B875" s="20" t="n">
        <x:v>0.0025</x:v>
      </x:c>
    </x:row>
    <x:row r="876">
      <x:c r="A876" s="17" t="n">
        <x:v>43943</x:v>
      </x:c>
      <x:c r="B876" s="20" t="n">
        <x:v>0.0025</x:v>
      </x:c>
    </x:row>
    <x:row r="877">
      <x:c r="A877" s="17" t="n">
        <x:v>43944</x:v>
      </x:c>
      <x:c r="B877" s="20" t="n">
        <x:v>0.0025</x:v>
      </x:c>
    </x:row>
    <x:row r="878">
      <x:c r="A878" s="17" t="n">
        <x:v>43945</x:v>
      </x:c>
      <x:c r="B878" s="20" t="n">
        <x:v>0.0025</x:v>
      </x:c>
    </x:row>
    <x:row r="879">
      <x:c r="A879" s="17" t="n">
        <x:v>43946</x:v>
      </x:c>
      <x:c r="B879" s="20" t="n">
        <x:v>0.0025</x:v>
      </x:c>
    </x:row>
    <x:row r="880">
      <x:c r="A880" s="17" t="n">
        <x:v>43947</x:v>
      </x:c>
      <x:c r="B880" s="20" t="n">
        <x:v>0.0025</x:v>
      </x:c>
    </x:row>
    <x:row r="881">
      <x:c r="A881" s="17" t="n">
        <x:v>43948</x:v>
      </x:c>
      <x:c r="B881" s="20" t="n">
        <x:v>0.0025</x:v>
      </x:c>
    </x:row>
    <x:row r="882">
      <x:c r="A882" s="17" t="n">
        <x:v>43949</x:v>
      </x:c>
      <x:c r="B882" s="20" t="n">
        <x:v>0.0025</x:v>
      </x:c>
    </x:row>
    <x:row r="883">
      <x:c r="A883" s="17" t="n">
        <x:v>43950</x:v>
      </x:c>
      <x:c r="B883" s="20" t="n">
        <x:v>0.0025</x:v>
      </x:c>
    </x:row>
    <x:row r="884">
      <x:c r="A884" s="17" t="n">
        <x:v>43951</x:v>
      </x:c>
      <x:c r="B884" s="20" t="n">
        <x:v>0.0025</x:v>
      </x:c>
    </x:row>
    <x:row r="885">
      <x:c r="A885" s="17" t="n">
        <x:v>43952</x:v>
      </x:c>
      <x:c r="B885" s="20" t="n">
        <x:v>0.0025</x:v>
      </x:c>
    </x:row>
    <x:row r="886">
      <x:c r="A886" s="17" t="n">
        <x:v>43953</x:v>
      </x:c>
      <x:c r="B886" s="20" t="n">
        <x:v>0.0025</x:v>
      </x:c>
    </x:row>
    <x:row r="887">
      <x:c r="A887" s="17" t="n">
        <x:v>43954</x:v>
      </x:c>
      <x:c r="B887" s="20" t="n">
        <x:v>0.0025</x:v>
      </x:c>
    </x:row>
    <x:row r="888">
      <x:c r="A888" s="17" t="n">
        <x:v>43955</x:v>
      </x:c>
      <x:c r="B888" s="20" t="n">
        <x:v>0.0025</x:v>
      </x:c>
    </x:row>
    <x:row r="889">
      <x:c r="A889" s="17" t="n">
        <x:v>43956</x:v>
      </x:c>
      <x:c r="B889" s="20" t="n">
        <x:v>0.0025</x:v>
      </x:c>
    </x:row>
    <x:row r="890">
      <x:c r="A890" s="17" t="n">
        <x:v>43957</x:v>
      </x:c>
      <x:c r="B890" s="20" t="n">
        <x:v>0.0025</x:v>
      </x:c>
    </x:row>
    <x:row r="891">
      <x:c r="A891" s="17" t="n">
        <x:v>43958</x:v>
      </x:c>
      <x:c r="B891" s="20" t="n">
        <x:v>0.0025</x:v>
      </x:c>
    </x:row>
    <x:row r="892">
      <x:c r="A892" s="17" t="n">
        <x:v>43959</x:v>
      </x:c>
      <x:c r="B892" s="20" t="n">
        <x:v>0.0025</x:v>
      </x:c>
    </x:row>
    <x:row r="893">
      <x:c r="A893" s="17" t="n">
        <x:v>43960</x:v>
      </x:c>
      <x:c r="B893" s="20" t="n">
        <x:v>0.0025</x:v>
      </x:c>
    </x:row>
    <x:row r="894">
      <x:c r="A894" s="17" t="n">
        <x:v>43961</x:v>
      </x:c>
      <x:c r="B894" s="20" t="n">
        <x:v>0.0025</x:v>
      </x:c>
    </x:row>
    <x:row r="895">
      <x:c r="A895" s="17" t="n">
        <x:v>43962</x:v>
      </x:c>
      <x:c r="B895" s="20" t="n">
        <x:v>0.0025</x:v>
      </x:c>
    </x:row>
    <x:row r="896">
      <x:c r="A896" s="17" t="n">
        <x:v>43963</x:v>
      </x:c>
      <x:c r="B896" s="20" t="n">
        <x:v>0.0025</x:v>
      </x:c>
    </x:row>
    <x:row r="897">
      <x:c r="A897" s="17" t="n">
        <x:v>43964</x:v>
      </x:c>
      <x:c r="B897" s="20" t="n">
        <x:v>0.0025</x:v>
      </x:c>
    </x:row>
    <x:row r="898">
      <x:c r="A898" s="17" t="n">
        <x:v>43965</x:v>
      </x:c>
      <x:c r="B898" s="20" t="n">
        <x:v>0.0025</x:v>
      </x:c>
    </x:row>
    <x:row r="899">
      <x:c r="A899" s="17" t="n">
        <x:v>43966</x:v>
      </x:c>
      <x:c r="B899" s="20" t="n">
        <x:v>0.0025</x:v>
      </x:c>
    </x:row>
    <x:row r="900">
      <x:c r="A900" s="17" t="n">
        <x:v>43967</x:v>
      </x:c>
      <x:c r="B900" s="20" t="n">
        <x:v>0.0025</x:v>
      </x:c>
    </x:row>
    <x:row r="901">
      <x:c r="A901" s="17" t="n">
        <x:v>43968</x:v>
      </x:c>
      <x:c r="B901" s="20" t="n">
        <x:v>0.0025</x:v>
      </x:c>
    </x:row>
    <x:row r="902">
      <x:c r="A902" s="17" t="n">
        <x:v>43969</x:v>
      </x:c>
      <x:c r="B902" s="20" t="n">
        <x:v>0.0025</x:v>
      </x:c>
    </x:row>
    <x:row r="903">
      <x:c r="A903" s="17" t="n">
        <x:v>43970</x:v>
      </x:c>
      <x:c r="B903" s="20" t="n">
        <x:v>0.0025</x:v>
      </x:c>
    </x:row>
    <x:row r="904">
      <x:c r="A904" s="17" t="n">
        <x:v>43971</x:v>
      </x:c>
      <x:c r="B904" s="20" t="n">
        <x:v>0.0025</x:v>
      </x:c>
    </x:row>
    <x:row r="905">
      <x:c r="A905" s="17" t="n">
        <x:v>43972</x:v>
      </x:c>
      <x:c r="B905" s="20" t="n">
        <x:v>0.0025</x:v>
      </x:c>
    </x:row>
    <x:row r="906">
      <x:c r="A906" s="17" t="n">
        <x:v>43973</x:v>
      </x:c>
      <x:c r="B906" s="20" t="n">
        <x:v>0.0025</x:v>
      </x:c>
    </x:row>
    <x:row r="907">
      <x:c r="A907" s="17" t="n">
        <x:v>43974</x:v>
      </x:c>
      <x:c r="B907" s="20" t="n">
        <x:v>0.0025</x:v>
      </x:c>
    </x:row>
    <x:row r="908">
      <x:c r="A908" s="17" t="n">
        <x:v>43975</x:v>
      </x:c>
      <x:c r="B908" s="20" t="n">
        <x:v>0.0025</x:v>
      </x:c>
    </x:row>
    <x:row r="909">
      <x:c r="A909" s="17" t="n">
        <x:v>43976</x:v>
      </x:c>
      <x:c r="B909" s="20" t="n">
        <x:v>0.0025</x:v>
      </x:c>
    </x:row>
    <x:row r="910">
      <x:c r="A910" s="17" t="n">
        <x:v>43977</x:v>
      </x:c>
      <x:c r="B910" s="20" t="n">
        <x:v>0.0025</x:v>
      </x:c>
    </x:row>
    <x:row r="911">
      <x:c r="A911" s="17" t="n">
        <x:v>43978</x:v>
      </x:c>
      <x:c r="B911" s="20" t="n">
        <x:v>0.0025</x:v>
      </x:c>
    </x:row>
    <x:row r="912">
      <x:c r="A912" s="17" t="n">
        <x:v>43979</x:v>
      </x:c>
      <x:c r="B912" s="20" t="n">
        <x:v>0.0025</x:v>
      </x:c>
    </x:row>
    <x:row r="913">
      <x:c r="A913" s="17" t="n">
        <x:v>43980</x:v>
      </x:c>
      <x:c r="B913" s="20" t="n">
        <x:v>0.0025</x:v>
      </x:c>
    </x:row>
    <x:row r="914">
      <x:c r="A914" s="17" t="n">
        <x:v>43981</x:v>
      </x:c>
      <x:c r="B914" s="20" t="n">
        <x:v>0.0025</x:v>
      </x:c>
    </x:row>
    <x:row r="915">
      <x:c r="A915" s="17" t="n">
        <x:v>43982</x:v>
      </x:c>
      <x:c r="B915" s="20" t="n">
        <x:v>0.0025</x:v>
      </x:c>
    </x:row>
    <x:row r="916">
      <x:c r="A916" s="17" t="n">
        <x:v>43983</x:v>
      </x:c>
      <x:c r="B916" s="20" t="n">
        <x:v>0.0025</x:v>
      </x:c>
    </x:row>
    <x:row r="917">
      <x:c r="A917" s="17" t="n">
        <x:v>43984</x:v>
      </x:c>
      <x:c r="B917" s="20" t="n">
        <x:v>0.0025</x:v>
      </x:c>
    </x:row>
    <x:row r="918">
      <x:c r="A918" s="17" t="n">
        <x:v>43985</x:v>
      </x:c>
      <x:c r="B918" s="20" t="n">
        <x:v>0.0025</x:v>
      </x:c>
    </x:row>
    <x:row r="919">
      <x:c r="A919" s="17" t="n">
        <x:v>43986</x:v>
      </x:c>
      <x:c r="B919" s="20" t="n">
        <x:v>0.0025</x:v>
      </x:c>
    </x:row>
    <x:row r="920">
      <x:c r="A920" s="17" t="n">
        <x:v>43987</x:v>
      </x:c>
      <x:c r="B920" s="20" t="n">
        <x:v>0.0025</x:v>
      </x:c>
    </x:row>
    <x:row r="921">
      <x:c r="A921" s="17" t="n">
        <x:v>43988</x:v>
      </x:c>
      <x:c r="B921" s="20" t="n">
        <x:v>0.0025</x:v>
      </x:c>
    </x:row>
    <x:row r="922">
      <x:c r="A922" s="17" t="n">
        <x:v>43989</x:v>
      </x:c>
      <x:c r="B922" s="20" t="n">
        <x:v>0.0025</x:v>
      </x:c>
    </x:row>
    <x:row r="923">
      <x:c r="A923" s="17" t="n">
        <x:v>43990</x:v>
      </x:c>
      <x:c r="B923" s="20" t="n">
        <x:v>0.0025</x:v>
      </x:c>
    </x:row>
    <x:row r="924">
      <x:c r="A924" s="17" t="n">
        <x:v>43991</x:v>
      </x:c>
      <x:c r="B924" s="20" t="n">
        <x:v>0.0025</x:v>
      </x:c>
    </x:row>
    <x:row r="925">
      <x:c r="A925" s="17" t="n">
        <x:v>43992</x:v>
      </x:c>
      <x:c r="B925" s="20" t="n">
        <x:v>0.0025</x:v>
      </x:c>
    </x:row>
    <x:row r="926">
      <x:c r="A926" s="17" t="n">
        <x:v>43993</x:v>
      </x:c>
      <x:c r="B926" s="20" t="n">
        <x:v>0.0025</x:v>
      </x:c>
    </x:row>
    <x:row r="927">
      <x:c r="A927" s="17" t="n">
        <x:v>43994</x:v>
      </x:c>
      <x:c r="B927" s="20" t="n">
        <x:v>0.0025</x:v>
      </x:c>
    </x:row>
    <x:row r="928">
      <x:c r="A928" s="17" t="n">
        <x:v>43995</x:v>
      </x:c>
      <x:c r="B928" s="20" t="n">
        <x:v>0.0025</x:v>
      </x:c>
    </x:row>
    <x:row r="929">
      <x:c r="A929" s="17" t="n">
        <x:v>43996</x:v>
      </x:c>
      <x:c r="B929" s="20" t="n">
        <x:v>0.0025</x:v>
      </x:c>
    </x:row>
    <x:row r="930">
      <x:c r="A930" s="17" t="n">
        <x:v>43997</x:v>
      </x:c>
      <x:c r="B930" s="20" t="n">
        <x:v>0.0025</x:v>
      </x:c>
    </x:row>
    <x:row r="931">
      <x:c r="A931" s="17" t="n">
        <x:v>43998</x:v>
      </x:c>
      <x:c r="B931" s="20" t="n">
        <x:v>0.0025</x:v>
      </x:c>
    </x:row>
    <x:row r="932">
      <x:c r="A932" s="17" t="n">
        <x:v>43999</x:v>
      </x:c>
      <x:c r="B932" s="20" t="n">
        <x:v>0.0025</x:v>
      </x:c>
    </x:row>
    <x:row r="933">
      <x:c r="A933" s="17" t="n">
        <x:v>44000</x:v>
      </x:c>
      <x:c r="B933" s="20" t="n">
        <x:v>0.0025</x:v>
      </x:c>
    </x:row>
    <x:row r="934">
      <x:c r="A934" s="17" t="n">
        <x:v>44001</x:v>
      </x:c>
      <x:c r="B934" s="20" t="n">
        <x:v>0.0025</x:v>
      </x:c>
    </x:row>
    <x:row r="935">
      <x:c r="A935" s="17" t="n">
        <x:v>44002</x:v>
      </x:c>
      <x:c r="B935" s="20" t="n">
        <x:v>0.0025</x:v>
      </x:c>
    </x:row>
    <x:row r="936">
      <x:c r="A936" s="17" t="n">
        <x:v>44003</x:v>
      </x:c>
      <x:c r="B936" s="20" t="n">
        <x:v>0.0025</x:v>
      </x:c>
    </x:row>
    <x:row r="937">
      <x:c r="A937" s="17" t="n">
        <x:v>44004</x:v>
      </x:c>
      <x:c r="B937" s="20" t="n">
        <x:v>0.0025</x:v>
      </x:c>
    </x:row>
    <x:row r="938">
      <x:c r="A938" s="17" t="n">
        <x:v>44005</x:v>
      </x:c>
      <x:c r="B938" s="20" t="n">
        <x:v>0.0025</x:v>
      </x:c>
    </x:row>
    <x:row r="939">
      <x:c r="A939" s="17" t="n">
        <x:v>44006</x:v>
      </x:c>
      <x:c r="B939" s="20" t="n">
        <x:v>0.0025</x:v>
      </x:c>
    </x:row>
    <x:row r="940">
      <x:c r="A940" s="17" t="n">
        <x:v>44007</x:v>
      </x:c>
      <x:c r="B940" s="20" t="n">
        <x:v>0.0025</x:v>
      </x:c>
    </x:row>
    <x:row r="941">
      <x:c r="A941" s="17" t="n">
        <x:v>44008</x:v>
      </x:c>
      <x:c r="B941" s="20" t="n">
        <x:v>0.0025</x:v>
      </x:c>
    </x:row>
    <x:row r="942">
      <x:c r="A942" s="17" t="n">
        <x:v>44009</x:v>
      </x:c>
      <x:c r="B942" s="20" t="n">
        <x:v>0.0025</x:v>
      </x:c>
    </x:row>
    <x:row r="943">
      <x:c r="A943" s="17" t="n">
        <x:v>44010</x:v>
      </x:c>
      <x:c r="B943" s="20" t="n">
        <x:v>0.0025</x:v>
      </x:c>
    </x:row>
    <x:row r="944">
      <x:c r="A944" s="17" t="n">
        <x:v>44011</x:v>
      </x:c>
      <x:c r="B944" s="20" t="n">
        <x:v>0.0025</x:v>
      </x:c>
    </x:row>
    <x:row r="945">
      <x:c r="A945" s="17" t="n">
        <x:v>44012</x:v>
      </x:c>
      <x:c r="B945" s="20" t="n">
        <x:v>0.0025</x:v>
      </x:c>
    </x:row>
    <x:row r="946">
      <x:c r="A946" s="17" t="n">
        <x:v>44013</x:v>
      </x:c>
      <x:c r="B946" s="20" t="n">
        <x:v>0.0025</x:v>
      </x:c>
    </x:row>
    <x:row r="947">
      <x:c r="A947" s="17" t="n">
        <x:v>44014</x:v>
      </x:c>
      <x:c r="B947" s="20" t="n">
        <x:v>0.0025</x:v>
      </x:c>
    </x:row>
    <x:row r="948">
      <x:c r="A948" s="17" t="n">
        <x:v>44015</x:v>
      </x:c>
      <x:c r="B948" s="20" t="n">
        <x:v>0.0025</x:v>
      </x:c>
    </x:row>
    <x:row r="949">
      <x:c r="A949" s="17" t="n">
        <x:v>44016</x:v>
      </x:c>
      <x:c r="B949" s="20" t="n">
        <x:v>0.0025</x:v>
      </x:c>
    </x:row>
    <x:row r="950">
      <x:c r="A950" s="17" t="n">
        <x:v>44017</x:v>
      </x:c>
      <x:c r="B950" s="20" t="n">
        <x:v>0.0025</x:v>
      </x:c>
    </x:row>
    <x:row r="951">
      <x:c r="A951" s="17" t="n">
        <x:v>44018</x:v>
      </x:c>
      <x:c r="B951" s="20" t="n">
        <x:v>0.0025</x:v>
      </x:c>
    </x:row>
    <x:row r="952">
      <x:c r="A952" s="17" t="n">
        <x:v>44019</x:v>
      </x:c>
      <x:c r="B952" s="20" t="n">
        <x:v>0.0025</x:v>
      </x:c>
    </x:row>
    <x:row r="953">
      <x:c r="A953" s="17" t="n">
        <x:v>44020</x:v>
      </x:c>
      <x:c r="B953" s="20" t="n">
        <x:v>0.0025</x:v>
      </x:c>
    </x:row>
    <x:row r="954">
      <x:c r="A954" s="17" t="n">
        <x:v>44021</x:v>
      </x:c>
      <x:c r="B954" s="20" t="n">
        <x:v>0.0025</x:v>
      </x:c>
    </x:row>
    <x:row r="955">
      <x:c r="A955" s="17" t="n">
        <x:v>44022</x:v>
      </x:c>
      <x:c r="B955" s="20" t="n">
        <x:v>0.0025</x:v>
      </x:c>
    </x:row>
    <x:row r="956">
      <x:c r="A956" s="17" t="n">
        <x:v>44023</x:v>
      </x:c>
      <x:c r="B956" s="20" t="n">
        <x:v>0.0025</x:v>
      </x:c>
    </x:row>
    <x:row r="957">
      <x:c r="A957" s="17" t="n">
        <x:v>44024</x:v>
      </x:c>
      <x:c r="B957" s="20" t="n">
        <x:v>0.0025</x:v>
      </x:c>
    </x:row>
    <x:row r="958">
      <x:c r="A958" s="17" t="n">
        <x:v>44025</x:v>
      </x:c>
      <x:c r="B958" s="20" t="n">
        <x:v>0.0025</x:v>
      </x:c>
    </x:row>
    <x:row r="959">
      <x:c r="A959" s="17" t="n">
        <x:v>44026</x:v>
      </x:c>
      <x:c r="B959" s="20" t="n">
        <x:v>0.0025</x:v>
      </x:c>
    </x:row>
    <x:row r="960">
      <x:c r="A960" s="17" t="n">
        <x:v>44027</x:v>
      </x:c>
      <x:c r="B960" s="20" t="n">
        <x:v>0.0025</x:v>
      </x:c>
    </x:row>
    <x:row r="961">
      <x:c r="A961" s="17" t="n">
        <x:v>44028</x:v>
      </x:c>
      <x:c r="B961" s="20" t="n">
        <x:v>0.0025</x:v>
      </x:c>
    </x:row>
    <x:row r="962">
      <x:c r="A962" s="17" t="n">
        <x:v>44029</x:v>
      </x:c>
      <x:c r="B962" s="20" t="n">
        <x:v>0.0025</x:v>
      </x:c>
    </x:row>
    <x:row r="963">
      <x:c r="A963" s="17" t="n">
        <x:v>44030</x:v>
      </x:c>
      <x:c r="B963" s="20" t="n">
        <x:v>0.0025</x:v>
      </x:c>
    </x:row>
    <x:row r="964">
      <x:c r="A964" s="17" t="n">
        <x:v>44031</x:v>
      </x:c>
      <x:c r="B964" s="20" t="n">
        <x:v>0.0025</x:v>
      </x:c>
    </x:row>
    <x:row r="965">
      <x:c r="A965" s="17" t="n">
        <x:v>44032</x:v>
      </x:c>
      <x:c r="B965" s="20" t="n">
        <x:v>0.0025</x:v>
      </x:c>
    </x:row>
    <x:row r="966">
      <x:c r="A966" s="17" t="n">
        <x:v>44033</x:v>
      </x:c>
      <x:c r="B966" s="20" t="n">
        <x:v>0.0025</x:v>
      </x:c>
    </x:row>
    <x:row r="967">
      <x:c r="A967" s="17" t="n">
        <x:v>44034</x:v>
      </x:c>
      <x:c r="B967" s="20" t="n">
        <x:v>0.0025</x:v>
      </x:c>
    </x:row>
    <x:row r="968">
      <x:c r="A968" s="17" t="n">
        <x:v>44035</x:v>
      </x:c>
      <x:c r="B968" s="20" t="n">
        <x:v>0.0025</x:v>
      </x:c>
    </x:row>
    <x:row r="969">
      <x:c r="A969" s="17" t="n">
        <x:v>44036</x:v>
      </x:c>
      <x:c r="B969" s="20" t="n">
        <x:v>0.0025</x:v>
      </x:c>
    </x:row>
    <x:row r="970">
      <x:c r="A970" s="17" t="n">
        <x:v>44037</x:v>
      </x:c>
      <x:c r="B970" s="20" t="n">
        <x:v>0.0025</x:v>
      </x:c>
    </x:row>
    <x:row r="971">
      <x:c r="A971" s="17" t="n">
        <x:v>44038</x:v>
      </x:c>
      <x:c r="B971" s="20" t="n">
        <x:v>0.0025</x:v>
      </x:c>
    </x:row>
    <x:row r="972">
      <x:c r="A972" s="17" t="n">
        <x:v>44039</x:v>
      </x:c>
      <x:c r="B972" s="20" t="n">
        <x:v>0.0025</x:v>
      </x:c>
    </x:row>
    <x:row r="973">
      <x:c r="A973" s="17" t="n">
        <x:v>44040</x:v>
      </x:c>
      <x:c r="B973" s="20" t="n">
        <x:v>0.0025</x:v>
      </x:c>
    </x:row>
    <x:row r="974">
      <x:c r="A974" s="17" t="n">
        <x:v>44041</x:v>
      </x:c>
      <x:c r="B974" s="20" t="n">
        <x:v>0.0025</x:v>
      </x:c>
    </x:row>
    <x:row r="975">
      <x:c r="A975" s="17" t="n">
        <x:v>44042</x:v>
      </x:c>
      <x:c r="B975" s="20" t="n">
        <x:v>0.0025</x:v>
      </x:c>
    </x:row>
    <x:row r="976">
      <x:c r="A976" s="17" t="n">
        <x:v>44043</x:v>
      </x:c>
      <x:c r="B976" s="20" t="n">
        <x:v>0.0025</x:v>
      </x:c>
    </x:row>
    <x:row r="977">
      <x:c r="A977" s="17" t="n">
        <x:v>44044</x:v>
      </x:c>
      <x:c r="B977" s="20" t="n">
        <x:v>0.0025</x:v>
      </x:c>
    </x:row>
    <x:row r="978">
      <x:c r="A978" s="17" t="n">
        <x:v>44045</x:v>
      </x:c>
      <x:c r="B978" s="20" t="n">
        <x:v>0.0025</x:v>
      </x:c>
    </x:row>
    <x:row r="979">
      <x:c r="A979" s="17" t="n">
        <x:v>44046</x:v>
      </x:c>
      <x:c r="B979" s="20" t="n">
        <x:v>0.0025</x:v>
      </x:c>
    </x:row>
    <x:row r="980">
      <x:c r="A980" s="17" t="n">
        <x:v>44047</x:v>
      </x:c>
      <x:c r="B980" s="20" t="n">
        <x:v>0.0025</x:v>
      </x:c>
    </x:row>
    <x:row r="981">
      <x:c r="A981" s="17" t="n">
        <x:v>44048</x:v>
      </x:c>
      <x:c r="B981" s="20" t="n">
        <x:v>0.0025</x:v>
      </x:c>
    </x:row>
    <x:row r="982">
      <x:c r="A982" s="17" t="n">
        <x:v>44049</x:v>
      </x:c>
      <x:c r="B982" s="20" t="n">
        <x:v>0.0025</x:v>
      </x:c>
    </x:row>
    <x:row r="983">
      <x:c r="A983" s="17" t="n">
        <x:v>44050</x:v>
      </x:c>
      <x:c r="B983" s="20" t="n">
        <x:v>0.0025</x:v>
      </x:c>
    </x:row>
    <x:row r="984">
      <x:c r="A984" s="17" t="n">
        <x:v>44051</x:v>
      </x:c>
      <x:c r="B984" s="20" t="n">
        <x:v>0.0025</x:v>
      </x:c>
    </x:row>
    <x:row r="985">
      <x:c r="A985" s="17" t="n">
        <x:v>44052</x:v>
      </x:c>
      <x:c r="B985" s="20" t="n">
        <x:v>0.0025</x:v>
      </x:c>
    </x:row>
    <x:row r="986">
      <x:c r="A986" s="17" t="n">
        <x:v>44053</x:v>
      </x:c>
      <x:c r="B986" s="20" t="n">
        <x:v>0.0025</x:v>
      </x:c>
    </x:row>
    <x:row r="987">
      <x:c r="A987" s="17" t="n">
        <x:v>44054</x:v>
      </x:c>
      <x:c r="B987" s="20" t="n">
        <x:v>0.0025</x:v>
      </x:c>
    </x:row>
    <x:row r="988">
      <x:c r="A988" s="17" t="n">
        <x:v>44055</x:v>
      </x:c>
      <x:c r="B988" s="20" t="n">
        <x:v>0.0025</x:v>
      </x:c>
    </x:row>
    <x:row r="989">
      <x:c r="A989" s="17" t="n">
        <x:v>44056</x:v>
      </x:c>
      <x:c r="B989" s="20" t="n">
        <x:v>0.0025</x:v>
      </x:c>
    </x:row>
    <x:row r="990">
      <x:c r="A990" s="17" t="n">
        <x:v>44057</x:v>
      </x:c>
      <x:c r="B990" s="20" t="n">
        <x:v>0.0025</x:v>
      </x:c>
    </x:row>
    <x:row r="991">
      <x:c r="A991" s="17" t="n">
        <x:v>44058</x:v>
      </x:c>
      <x:c r="B991" s="20" t="n">
        <x:v>0.0025</x:v>
      </x:c>
    </x:row>
    <x:row r="992">
      <x:c r="A992" s="17" t="n">
        <x:v>44059</x:v>
      </x:c>
      <x:c r="B992" s="20" t="n">
        <x:v>0.0025</x:v>
      </x:c>
    </x:row>
    <x:row r="993">
      <x:c r="A993" s="17" t="n">
        <x:v>44060</x:v>
      </x:c>
      <x:c r="B993" s="20" t="n">
        <x:v>0.0025</x:v>
      </x:c>
    </x:row>
    <x:row r="994">
      <x:c r="A994" s="17" t="n">
        <x:v>44061</x:v>
      </x:c>
      <x:c r="B994" s="20" t="n">
        <x:v>0.0025</x:v>
      </x:c>
    </x:row>
    <x:row r="995">
      <x:c r="A995" s="17" t="n">
        <x:v>44062</x:v>
      </x:c>
      <x:c r="B995" s="20" t="n">
        <x:v>0.0025</x:v>
      </x:c>
    </x:row>
    <x:row r="996">
      <x:c r="A996" s="17" t="n">
        <x:v>44063</x:v>
      </x:c>
      <x:c r="B996" s="20" t="n">
        <x:v>0.0025</x:v>
      </x:c>
    </x:row>
    <x:row r="997">
      <x:c r="A997" s="17" t="n">
        <x:v>44064</x:v>
      </x:c>
      <x:c r="B997" s="20" t="n">
        <x:v>0.0025</x:v>
      </x:c>
    </x:row>
    <x:row r="998">
      <x:c r="A998" s="17" t="n">
        <x:v>44065</x:v>
      </x:c>
      <x:c r="B998" s="20" t="n">
        <x:v>0.0025</x:v>
      </x:c>
    </x:row>
    <x:row r="999">
      <x:c r="A999" s="17" t="n">
        <x:v>44066</x:v>
      </x:c>
      <x:c r="B999" s="20" t="n">
        <x:v>0.0025</x:v>
      </x:c>
    </x:row>
    <x:row r="1000">
      <x:c r="A1000" s="17" t="n">
        <x:v>44067</x:v>
      </x:c>
      <x:c r="B1000" s="20" t="n">
        <x:v>0.0025</x:v>
      </x:c>
    </x:row>
    <x:row r="1001">
      <x:c r="A1001" s="17" t="n">
        <x:v>44068</x:v>
      </x:c>
      <x:c r="B1001" s="20" t="n">
        <x:v>0.0025</x:v>
      </x:c>
    </x:row>
    <x:row r="1002">
      <x:c r="A1002" s="17" t="n">
        <x:v>44069</x:v>
      </x:c>
      <x:c r="B1002" s="20" t="n">
        <x:v>0.0025</x:v>
      </x:c>
    </x:row>
    <x:row r="1003">
      <x:c r="A1003" s="17" t="n">
        <x:v>44070</x:v>
      </x:c>
      <x:c r="B1003" s="20" t="n">
        <x:v>0.0025</x:v>
      </x:c>
    </x:row>
    <x:row r="1004">
      <x:c r="A1004" s="17" t="n">
        <x:v>44071</x:v>
      </x:c>
      <x:c r="B1004" s="20" t="n">
        <x:v>0.0025</x:v>
      </x:c>
    </x:row>
    <x:row r="1005">
      <x:c r="A1005" s="17" t="n">
        <x:v>44072</x:v>
      </x:c>
      <x:c r="B1005" s="20" t="n">
        <x:v>0.0025</x:v>
      </x:c>
    </x:row>
    <x:row r="1006">
      <x:c r="A1006" s="17" t="n">
        <x:v>44073</x:v>
      </x:c>
      <x:c r="B1006" s="20" t="n">
        <x:v>0.0025</x:v>
      </x:c>
    </x:row>
    <x:row r="1007">
      <x:c r="A1007" s="17" t="n">
        <x:v>44074</x:v>
      </x:c>
      <x:c r="B1007" s="20" t="n">
        <x:v>0.0025</x:v>
      </x:c>
    </x:row>
    <x:row r="1008">
      <x:c r="A1008" s="17" t="n">
        <x:v>44075</x:v>
      </x:c>
      <x:c r="B1008" s="20" t="n">
        <x:v>0.0025</x:v>
      </x:c>
    </x:row>
    <x:row r="1009">
      <x:c r="A1009" s="17" t="n">
        <x:v>44076</x:v>
      </x:c>
      <x:c r="B1009" s="20" t="n">
        <x:v>0.0025</x:v>
      </x:c>
    </x:row>
    <x:row r="1010">
      <x:c r="A1010" s="17" t="n">
        <x:v>44077</x:v>
      </x:c>
      <x:c r="B1010" s="20" t="n">
        <x:v>0.0025</x:v>
      </x:c>
    </x:row>
    <x:row r="1011">
      <x:c r="A1011" s="17" t="n">
        <x:v>44078</x:v>
      </x:c>
      <x:c r="B1011" s="20" t="n">
        <x:v>0.0025</x:v>
      </x:c>
    </x:row>
    <x:row r="1012">
      <x:c r="A1012" s="17" t="n">
        <x:v>44079</x:v>
      </x:c>
      <x:c r="B1012" s="20" t="n">
        <x:v>0.0025</x:v>
      </x:c>
    </x:row>
    <x:row r="1013">
      <x:c r="A1013" s="17" t="n">
        <x:v>44080</x:v>
      </x:c>
      <x:c r="B1013" s="20" t="n">
        <x:v>0.0025</x:v>
      </x:c>
    </x:row>
    <x:row r="1014">
      <x:c r="A1014" s="17" t="n">
        <x:v>44081</x:v>
      </x:c>
      <x:c r="B1014" s="20" t="n">
        <x:v>0.0025</x:v>
      </x:c>
    </x:row>
    <x:row r="1015">
      <x:c r="A1015" s="17" t="n">
        <x:v>44082</x:v>
      </x:c>
      <x:c r="B1015" s="20" t="n">
        <x:v>0.0025</x:v>
      </x:c>
    </x:row>
    <x:row r="1016">
      <x:c r="A1016" s="17" t="n">
        <x:v>44083</x:v>
      </x:c>
      <x:c r="B1016" s="20" t="n">
        <x:v>0.0025</x:v>
      </x:c>
    </x:row>
    <x:row r="1017">
      <x:c r="A1017" s="17" t="n">
        <x:v>44084</x:v>
      </x:c>
      <x:c r="B1017" s="20" t="n">
        <x:v>0.0025</x:v>
      </x:c>
    </x:row>
    <x:row r="1018">
      <x:c r="A1018" s="17" t="n">
        <x:v>44085</x:v>
      </x:c>
      <x:c r="B1018" s="20" t="n">
        <x:v>0.0025</x:v>
      </x:c>
    </x:row>
    <x:row r="1019">
      <x:c r="A1019" s="17" t="n">
        <x:v>44086</x:v>
      </x:c>
      <x:c r="B1019" s="20" t="n">
        <x:v>0.0025</x:v>
      </x:c>
    </x:row>
    <x:row r="1020">
      <x:c r="A1020" s="17" t="n">
        <x:v>44087</x:v>
      </x:c>
      <x:c r="B1020" s="20" t="n">
        <x:v>0.0025</x:v>
      </x:c>
    </x:row>
    <x:row r="1021">
      <x:c r="A1021" s="17" t="n">
        <x:v>44088</x:v>
      </x:c>
      <x:c r="B1021" s="20" t="n">
        <x:v>0.0025</x:v>
      </x:c>
    </x:row>
    <x:row r="1022">
      <x:c r="A1022" s="17" t="n">
        <x:v>44089</x:v>
      </x:c>
      <x:c r="B1022" s="20" t="n">
        <x:v>0.0025</x:v>
      </x:c>
    </x:row>
    <x:row r="1023">
      <x:c r="A1023" s="17" t="n">
        <x:v>44090</x:v>
      </x:c>
      <x:c r="B1023" s="20" t="n">
        <x:v>0.0025</x:v>
      </x:c>
    </x:row>
    <x:row r="1024">
      <x:c r="A1024" s="17" t="n">
        <x:v>44091</x:v>
      </x:c>
      <x:c r="B1024" s="20" t="n">
        <x:v>0.0025</x:v>
      </x:c>
    </x:row>
    <x:row r="1025">
      <x:c r="A1025" s="17" t="n">
        <x:v>44092</x:v>
      </x:c>
      <x:c r="B1025" s="20" t="n">
        <x:v>0.0025</x:v>
      </x:c>
    </x:row>
    <x:row r="1026">
      <x:c r="A1026" s="17" t="n">
        <x:v>44093</x:v>
      </x:c>
      <x:c r="B1026" s="20" t="n">
        <x:v>0.0025</x:v>
      </x:c>
    </x:row>
    <x:row r="1027">
      <x:c r="A1027" s="17" t="n">
        <x:v>44094</x:v>
      </x:c>
      <x:c r="B1027" s="20" t="n">
        <x:v>0.0025</x:v>
      </x:c>
    </x:row>
    <x:row r="1028">
      <x:c r="A1028" s="17" t="n">
        <x:v>44095</x:v>
      </x:c>
      <x:c r="B1028" s="20" t="n">
        <x:v>0.0025</x:v>
      </x:c>
    </x:row>
    <x:row r="1029">
      <x:c r="A1029" s="17" t="n">
        <x:v>44096</x:v>
      </x:c>
      <x:c r="B1029" s="20" t="n">
        <x:v>0.0025</x:v>
      </x:c>
    </x:row>
    <x:row r="1030">
      <x:c r="A1030" s="17" t="n">
        <x:v>44097</x:v>
      </x:c>
      <x:c r="B1030" s="20" t="n">
        <x:v>0.0025</x:v>
      </x:c>
    </x:row>
    <x:row r="1031">
      <x:c r="A1031" s="17" t="n">
        <x:v>44098</x:v>
      </x:c>
      <x:c r="B1031" s="20" t="n">
        <x:v>0.0025</x:v>
      </x:c>
    </x:row>
    <x:row r="1032">
      <x:c r="A1032" s="17" t="n">
        <x:v>44099</x:v>
      </x:c>
      <x:c r="B1032" s="20" t="n">
        <x:v>0.0025</x:v>
      </x:c>
    </x:row>
    <x:row r="1033">
      <x:c r="A1033" s="17" t="n">
        <x:v>44100</x:v>
      </x:c>
      <x:c r="B1033" s="20" t="n">
        <x:v>0.0025</x:v>
      </x:c>
    </x:row>
    <x:row r="1034">
      <x:c r="A1034" s="17" t="n">
        <x:v>44101</x:v>
      </x:c>
      <x:c r="B1034" s="20" t="n">
        <x:v>0.0025</x:v>
      </x:c>
    </x:row>
    <x:row r="1035">
      <x:c r="A1035" s="17" t="n">
        <x:v>44102</x:v>
      </x:c>
      <x:c r="B1035" s="20" t="n">
        <x:v>0.0025</x:v>
      </x:c>
    </x:row>
    <x:row r="1036">
      <x:c r="A1036" s="17" t="n">
        <x:v>44103</x:v>
      </x:c>
      <x:c r="B1036" s="20" t="n">
        <x:v>0.0025</x:v>
      </x:c>
    </x:row>
    <x:row r="1037">
      <x:c r="A1037" s="17" t="n">
        <x:v>44104</x:v>
      </x:c>
      <x:c r="B1037" s="20" t="n">
        <x:v>0.0025</x:v>
      </x:c>
    </x:row>
    <x:row r="1038">
      <x:c r="A1038" s="17" t="n">
        <x:v>44105</x:v>
      </x:c>
      <x:c r="B1038" s="20" t="n">
        <x:v>0.0025</x:v>
      </x:c>
    </x:row>
    <x:row r="1039">
      <x:c r="A1039" s="17" t="n">
        <x:v>44106</x:v>
      </x:c>
      <x:c r="B1039" s="20" t="n">
        <x:v>0.0025</x:v>
      </x:c>
    </x:row>
    <x:row r="1040">
      <x:c r="A1040" s="17" t="n">
        <x:v>44107</x:v>
      </x:c>
      <x:c r="B1040" s="20" t="n">
        <x:v>0.0025</x:v>
      </x:c>
    </x:row>
    <x:row r="1041">
      <x:c r="A1041" s="17" t="n">
        <x:v>44108</x:v>
      </x:c>
      <x:c r="B1041" s="20" t="n">
        <x:v>0.0025</x:v>
      </x:c>
    </x:row>
    <x:row r="1042">
      <x:c r="A1042" s="17" t="n">
        <x:v>44109</x:v>
      </x:c>
      <x:c r="B1042" s="20" t="n">
        <x:v>0.0025</x:v>
      </x:c>
    </x:row>
    <x:row r="1043">
      <x:c r="A1043" s="17" t="n">
        <x:v>44110</x:v>
      </x:c>
      <x:c r="B1043" s="20" t="n">
        <x:v>0.0025</x:v>
      </x:c>
    </x:row>
    <x:row r="1044">
      <x:c r="A1044" s="17" t="n">
        <x:v>44111</x:v>
      </x:c>
      <x:c r="B1044" s="20" t="n">
        <x:v>0.0025</x:v>
      </x:c>
    </x:row>
    <x:row r="1045">
      <x:c r="A1045" s="17" t="n">
        <x:v>44112</x:v>
      </x:c>
      <x:c r="B1045" s="20" t="n">
        <x:v>0.0025</x:v>
      </x:c>
    </x:row>
    <x:row r="1046">
      <x:c r="A1046" s="17" t="n">
        <x:v>44113</x:v>
      </x:c>
      <x:c r="B1046" s="20" t="n">
        <x:v>0.0025</x:v>
      </x:c>
    </x:row>
    <x:row r="1047">
      <x:c r="A1047" s="17" t="n">
        <x:v>44114</x:v>
      </x:c>
      <x:c r="B1047" s="20" t="n">
        <x:v>0.0025</x:v>
      </x:c>
    </x:row>
    <x:row r="1048">
      <x:c r="A1048" s="17" t="n">
        <x:v>44115</x:v>
      </x:c>
      <x:c r="B1048" s="20" t="n">
        <x:v>0.0025</x:v>
      </x:c>
    </x:row>
    <x:row r="1049">
      <x:c r="A1049" s="17" t="n">
        <x:v>44116</x:v>
      </x:c>
      <x:c r="B1049" s="20" t="n">
        <x:v>0.0025</x:v>
      </x:c>
    </x:row>
    <x:row r="1050">
      <x:c r="A1050" s="17" t="n">
        <x:v>44117</x:v>
      </x:c>
      <x:c r="B1050" s="20" t="n">
        <x:v>0.0025</x:v>
      </x:c>
    </x:row>
    <x:row r="1051">
      <x:c r="A1051" s="17" t="n">
        <x:v>44118</x:v>
      </x:c>
      <x:c r="B1051" s="20" t="n">
        <x:v>0.0025</x:v>
      </x:c>
    </x:row>
    <x:row r="1052">
      <x:c r="A1052" s="17" t="n">
        <x:v>44119</x:v>
      </x:c>
      <x:c r="B1052" s="20" t="n">
        <x:v>0.0025</x:v>
      </x:c>
    </x:row>
    <x:row r="1053">
      <x:c r="A1053" s="17" t="n">
        <x:v>44120</x:v>
      </x:c>
      <x:c r="B1053" s="20" t="n">
        <x:v>0.0025</x:v>
      </x:c>
    </x:row>
    <x:row r="1054">
      <x:c r="A1054" s="17" t="n">
        <x:v>44121</x:v>
      </x:c>
      <x:c r="B1054" s="20" t="n">
        <x:v>0.0025</x:v>
      </x:c>
    </x:row>
    <x:row r="1055">
      <x:c r="A1055" s="17" t="n">
        <x:v>44122</x:v>
      </x:c>
      <x:c r="B1055" s="20" t="n">
        <x:v>0.0025</x:v>
      </x:c>
    </x:row>
    <x:row r="1056">
      <x:c r="A1056" s="17" t="n">
        <x:v>44123</x:v>
      </x:c>
      <x:c r="B1056" s="20" t="n">
        <x:v>0.0025</x:v>
      </x:c>
    </x:row>
    <x:row r="1057">
      <x:c r="A1057" s="17" t="n">
        <x:v>44124</x:v>
      </x:c>
      <x:c r="B1057" s="20" t="n">
        <x:v>0.0025</x:v>
      </x:c>
    </x:row>
    <x:row r="1058">
      <x:c r="A1058" s="17" t="n">
        <x:v>44125</x:v>
      </x:c>
      <x:c r="B1058" s="20" t="n">
        <x:v>0.0025</x:v>
      </x:c>
    </x:row>
    <x:row r="1059">
      <x:c r="A1059" s="17" t="n">
        <x:v>44126</x:v>
      </x:c>
      <x:c r="B1059" s="20" t="n">
        <x:v>0.0025</x:v>
      </x:c>
    </x:row>
    <x:row r="1060">
      <x:c r="A1060" s="17" t="n">
        <x:v>44127</x:v>
      </x:c>
      <x:c r="B1060" s="20" t="n">
        <x:v>0.0025</x:v>
      </x:c>
    </x:row>
    <x:row r="1061">
      <x:c r="A1061" s="17" t="n">
        <x:v>44128</x:v>
      </x:c>
      <x:c r="B1061" s="20" t="n">
        <x:v>0.0025</x:v>
      </x:c>
    </x:row>
    <x:row r="1062">
      <x:c r="A1062" s="17" t="n">
        <x:v>44129</x:v>
      </x:c>
      <x:c r="B1062" s="20" t="n">
        <x:v>0.0025</x:v>
      </x:c>
    </x:row>
    <x:row r="1063">
      <x:c r="A1063" s="17" t="n">
        <x:v>44130</x:v>
      </x:c>
      <x:c r="B1063" s="20" t="n">
        <x:v>0.0025</x:v>
      </x:c>
    </x:row>
    <x:row r="1064">
      <x:c r="A1064" s="17" t="n">
        <x:v>44131</x:v>
      </x:c>
      <x:c r="B1064" s="20" t="n">
        <x:v>0.0025</x:v>
      </x:c>
    </x:row>
    <x:row r="1065">
      <x:c r="A1065" s="17" t="n">
        <x:v>44132</x:v>
      </x:c>
      <x:c r="B1065" s="20" t="n">
        <x:v>0.0025</x:v>
      </x:c>
    </x:row>
    <x:row r="1066">
      <x:c r="A1066" s="17" t="n">
        <x:v>44133</x:v>
      </x:c>
      <x:c r="B1066" s="20" t="n">
        <x:v>0.0025</x:v>
      </x:c>
    </x:row>
    <x:row r="1067">
      <x:c r="A1067" s="17" t="n">
        <x:v>44134</x:v>
      </x:c>
      <x:c r="B1067" s="20" t="n">
        <x:v>0.0025</x:v>
      </x:c>
    </x:row>
    <x:row r="1068">
      <x:c r="A1068" s="17" t="n">
        <x:v>44135</x:v>
      </x:c>
      <x:c r="B1068" s="20" t="n">
        <x:v>0.0025</x:v>
      </x:c>
    </x:row>
    <x:row r="1069">
      <x:c r="A1069" s="17" t="n">
        <x:v>44136</x:v>
      </x:c>
      <x:c r="B1069" s="20" t="n">
        <x:v>0.0025</x:v>
      </x:c>
    </x:row>
    <x:row r="1070">
      <x:c r="A1070" s="17" t="n">
        <x:v>44137</x:v>
      </x:c>
      <x:c r="B1070" s="20" t="n">
        <x:v>0.0025</x:v>
      </x:c>
    </x:row>
    <x:row r="1071">
      <x:c r="A1071" s="17" t="n">
        <x:v>44138</x:v>
      </x:c>
      <x:c r="B1071" s="20" t="n">
        <x:v>0.0025</x:v>
      </x:c>
    </x:row>
    <x:row r="1072">
      <x:c r="A1072" s="17" t="n">
        <x:v>44139</x:v>
      </x:c>
      <x:c r="B1072" s="20" t="n">
        <x:v>0.0025</x:v>
      </x:c>
    </x:row>
    <x:row r="1073">
      <x:c r="A1073" s="17" t="n">
        <x:v>44140</x:v>
      </x:c>
      <x:c r="B1073" s="20" t="n">
        <x:v>0.0025</x:v>
      </x:c>
    </x:row>
    <x:row r="1074">
      <x:c r="A1074" s="17" t="n">
        <x:v>44141</x:v>
      </x:c>
      <x:c r="B1074" s="20" t="n">
        <x:v>0.0025</x:v>
      </x:c>
    </x:row>
    <x:row r="1075">
      <x:c r="A1075" s="17" t="n">
        <x:v>44142</x:v>
      </x:c>
      <x:c r="B1075" s="20" t="n">
        <x:v>0.0025</x:v>
      </x:c>
    </x:row>
    <x:row r="1076">
      <x:c r="A1076" s="17" t="n">
        <x:v>44143</x:v>
      </x:c>
      <x:c r="B1076" s="20" t="n">
        <x:v>0.0025</x:v>
      </x:c>
    </x:row>
    <x:row r="1077">
      <x:c r="A1077" s="17" t="n">
        <x:v>44144</x:v>
      </x:c>
      <x:c r="B1077" s="20" t="n">
        <x:v>0.0025</x:v>
      </x:c>
    </x:row>
    <x:row r="1078">
      <x:c r="A1078" s="17" t="n">
        <x:v>44145</x:v>
      </x:c>
      <x:c r="B1078" s="20" t="n">
        <x:v>0.0025</x:v>
      </x:c>
    </x:row>
    <x:row r="1079">
      <x:c r="A1079" s="17" t="n">
        <x:v>44146</x:v>
      </x:c>
      <x:c r="B1079" s="20" t="n">
        <x:v>0.0025</x:v>
      </x:c>
    </x:row>
    <x:row r="1080">
      <x:c r="A1080" s="17" t="n">
        <x:v>44147</x:v>
      </x:c>
      <x:c r="B1080" s="20" t="n">
        <x:v>0.0025</x:v>
      </x:c>
    </x:row>
    <x:row r="1081">
      <x:c r="A1081" s="17" t="n">
        <x:v>44148</x:v>
      </x:c>
      <x:c r="B1081" s="20" t="n">
        <x:v>0.0025</x:v>
      </x:c>
    </x:row>
    <x:row r="1082">
      <x:c r="A1082" s="17" t="n">
        <x:v>44149</x:v>
      </x:c>
      <x:c r="B1082" s="20" t="n">
        <x:v>0.0025</x:v>
      </x:c>
    </x:row>
    <x:row r="1083">
      <x:c r="A1083" s="17" t="n">
        <x:v>44150</x:v>
      </x:c>
      <x:c r="B1083" s="20" t="n">
        <x:v>0.0025</x:v>
      </x:c>
    </x:row>
    <x:row r="1084">
      <x:c r="A1084" s="17" t="n">
        <x:v>44151</x:v>
      </x:c>
      <x:c r="B1084" s="20" t="n">
        <x:v>0.0025</x:v>
      </x:c>
    </x:row>
    <x:row r="1085">
      <x:c r="A1085" s="17" t="n">
        <x:v>44152</x:v>
      </x:c>
      <x:c r="B1085" s="20" t="n">
        <x:v>0.0025</x:v>
      </x:c>
    </x:row>
    <x:row r="1086">
      <x:c r="A1086" s="17" t="n">
        <x:v>44153</x:v>
      </x:c>
      <x:c r="B1086" s="20" t="n">
        <x:v>0.0025</x:v>
      </x:c>
    </x:row>
    <x:row r="1087">
      <x:c r="A1087" s="17" t="n">
        <x:v>44154</x:v>
      </x:c>
      <x:c r="B1087" s="20" t="n">
        <x:v>0.0025</x:v>
      </x:c>
    </x:row>
    <x:row r="1088">
      <x:c r="A1088" s="17" t="n">
        <x:v>44155</x:v>
      </x:c>
      <x:c r="B1088" s="20" t="n">
        <x:v>0.0025</x:v>
      </x:c>
    </x:row>
    <x:row r="1089">
      <x:c r="A1089" s="17" t="n">
        <x:v>44156</x:v>
      </x:c>
      <x:c r="B1089" s="20" t="n">
        <x:v>0.0025</x:v>
      </x:c>
    </x:row>
    <x:row r="1090">
      <x:c r="A1090" s="17" t="n">
        <x:v>44157</x:v>
      </x:c>
      <x:c r="B1090" s="20" t="n">
        <x:v>0.0025</x:v>
      </x:c>
    </x:row>
    <x:row r="1091">
      <x:c r="A1091" s="17" t="n">
        <x:v>44158</x:v>
      </x:c>
      <x:c r="B1091" s="20" t="n">
        <x:v>0.0025</x:v>
      </x:c>
    </x:row>
    <x:row r="1092">
      <x:c r="A1092" s="17" t="n">
        <x:v>44159</x:v>
      </x:c>
      <x:c r="B1092" s="20" t="n">
        <x:v>0.0025</x:v>
      </x:c>
    </x:row>
    <x:row r="1093">
      <x:c r="A1093" s="17" t="n">
        <x:v>44160</x:v>
      </x:c>
      <x:c r="B1093" s="20" t="n">
        <x:v>0.0025</x:v>
      </x:c>
    </x:row>
    <x:row r="1094">
      <x:c r="A1094" s="17" t="n">
        <x:v>44161</x:v>
      </x:c>
      <x:c r="B1094" s="20" t="n">
        <x:v>0.0025</x:v>
      </x:c>
    </x:row>
    <x:row r="1095">
      <x:c r="A1095" s="17" t="n">
        <x:v>44162</x:v>
      </x:c>
      <x:c r="B1095" s="20" t="n">
        <x:v>0.0025</x:v>
      </x:c>
    </x:row>
    <x:row r="1096">
      <x:c r="A1096" s="17" t="n">
        <x:v>44163</x:v>
      </x:c>
      <x:c r="B1096" s="20" t="n">
        <x:v>0.0025</x:v>
      </x:c>
    </x:row>
    <x:row r="1097">
      <x:c r="A1097" s="17" t="n">
        <x:v>44164</x:v>
      </x:c>
      <x:c r="B1097" s="20" t="n">
        <x:v>0.0025</x:v>
      </x:c>
    </x:row>
    <x:row r="1098">
      <x:c r="A1098" s="17" t="n">
        <x:v>44165</x:v>
      </x:c>
      <x:c r="B1098" s="20" t="n">
        <x:v>0.0025</x:v>
      </x:c>
    </x:row>
    <x:row r="1099">
      <x:c r="A1099" s="17" t="n">
        <x:v>44166</x:v>
      </x:c>
      <x:c r="B1099" s="20" t="n">
        <x:v>0.0025</x:v>
      </x:c>
    </x:row>
    <x:row r="1100">
      <x:c r="A1100" s="17" t="n">
        <x:v>44167</x:v>
      </x:c>
      <x:c r="B1100" s="20" t="n">
        <x:v>0.0025</x:v>
      </x:c>
    </x:row>
    <x:row r="1101">
      <x:c r="A1101" s="17" t="n">
        <x:v>44168</x:v>
      </x:c>
      <x:c r="B1101" s="20" t="n">
        <x:v>0.0025</x:v>
      </x:c>
    </x:row>
    <x:row r="1102">
      <x:c r="A1102" s="17" t="n">
        <x:v>44169</x:v>
      </x:c>
      <x:c r="B1102" s="20" t="n">
        <x:v>0.0025</x:v>
      </x:c>
    </x:row>
    <x:row r="1103">
      <x:c r="A1103" s="17" t="n">
        <x:v>44170</x:v>
      </x:c>
      <x:c r="B1103" s="20" t="n">
        <x:v>0.0025</x:v>
      </x:c>
    </x:row>
    <x:row r="1104">
      <x:c r="A1104" s="17" t="n">
        <x:v>44171</x:v>
      </x:c>
      <x:c r="B1104" s="20" t="n">
        <x:v>0.0025</x:v>
      </x:c>
    </x:row>
    <x:row r="1105">
      <x:c r="A1105" s="17" t="n">
        <x:v>44172</x:v>
      </x:c>
      <x:c r="B1105" s="20" t="n">
        <x:v>0.0025</x:v>
      </x:c>
    </x:row>
    <x:row r="1106">
      <x:c r="A1106" s="17" t="n">
        <x:v>44173</x:v>
      </x:c>
      <x:c r="B1106" s="20" t="n">
        <x:v>0.0025</x:v>
      </x:c>
    </x:row>
    <x:row r="1107">
      <x:c r="A1107" s="17" t="n">
        <x:v>44174</x:v>
      </x:c>
      <x:c r="B1107" s="20" t="n">
        <x:v>0.0025</x:v>
      </x:c>
    </x:row>
    <x:row r="1108">
      <x:c r="A1108" s="17" t="n">
        <x:v>44175</x:v>
      </x:c>
      <x:c r="B1108" s="20" t="n">
        <x:v>0.0025</x:v>
      </x:c>
    </x:row>
    <x:row r="1109">
      <x:c r="A1109" s="17" t="n">
        <x:v>44176</x:v>
      </x:c>
      <x:c r="B1109" s="20" t="n">
        <x:v>0.0025</x:v>
      </x:c>
    </x:row>
    <x:row r="1110">
      <x:c r="A1110" s="17" t="n">
        <x:v>44177</x:v>
      </x:c>
      <x:c r="B1110" s="20" t="n">
        <x:v>0.0025</x:v>
      </x:c>
    </x:row>
    <x:row r="1111">
      <x:c r="A1111" s="17" t="n">
        <x:v>44178</x:v>
      </x:c>
      <x:c r="B1111" s="20" t="n">
        <x:v>0.0025</x:v>
      </x:c>
    </x:row>
    <x:row r="1112">
      <x:c r="A1112" s="17" t="n">
        <x:v>44179</x:v>
      </x:c>
      <x:c r="B1112" s="20" t="n">
        <x:v>0.0025</x:v>
      </x:c>
    </x:row>
    <x:row r="1113">
      <x:c r="A1113" s="17" t="n">
        <x:v>44180</x:v>
      </x:c>
      <x:c r="B1113" s="20" t="n">
        <x:v>0.0025</x:v>
      </x:c>
    </x:row>
    <x:row r="1114">
      <x:c r="A1114" s="17" t="n">
        <x:v>44181</x:v>
      </x:c>
      <x:c r="B1114" s="20" t="n">
        <x:v>0.0025</x:v>
      </x:c>
    </x:row>
    <x:row r="1115">
      <x:c r="A1115" s="17" t="n">
        <x:v>44182</x:v>
      </x:c>
      <x:c r="B1115" s="20" t="n">
        <x:v>0.0025</x:v>
      </x:c>
    </x:row>
    <x:row r="1116">
      <x:c r="A1116" s="17" t="n">
        <x:v>44183</x:v>
      </x:c>
      <x:c r="B1116" s="20" t="n">
        <x:v>0.0025</x:v>
      </x:c>
    </x:row>
    <x:row r="1117">
      <x:c r="A1117" s="17" t="n">
        <x:v>44184</x:v>
      </x:c>
      <x:c r="B1117" s="20" t="n">
        <x:v>0.0025</x:v>
      </x:c>
    </x:row>
    <x:row r="1118">
      <x:c r="A1118" s="17" t="n">
        <x:v>44185</x:v>
      </x:c>
      <x:c r="B1118" s="20" t="n">
        <x:v>0.0025</x:v>
      </x:c>
    </x:row>
    <x:row r="1119">
      <x:c r="A1119" s="17" t="n">
        <x:v>44186</x:v>
      </x:c>
      <x:c r="B1119" s="20" t="n">
        <x:v>0.0025</x:v>
      </x:c>
    </x:row>
    <x:row r="1120">
      <x:c r="A1120" s="17" t="n">
        <x:v>44187</x:v>
      </x:c>
      <x:c r="B1120" s="20" t="n">
        <x:v>0.0025</x:v>
      </x:c>
    </x:row>
    <x:row r="1121">
      <x:c r="A1121" s="17" t="n">
        <x:v>44188</x:v>
      </x:c>
      <x:c r="B1121" s="20" t="n">
        <x:v>0.0025</x:v>
      </x:c>
    </x:row>
    <x:row r="1122">
      <x:c r="A1122" s="17" t="n">
        <x:v>44189</x:v>
      </x:c>
      <x:c r="B1122" s="20" t="n">
        <x:v>0.0025</x:v>
      </x:c>
    </x:row>
    <x:row r="1123">
      <x:c r="A1123" s="17" t="n">
        <x:v>44190</x:v>
      </x:c>
      <x:c r="B1123" s="20" t="n">
        <x:v>0.0025</x:v>
      </x:c>
    </x:row>
    <x:row r="1124">
      <x:c r="A1124" s="17" t="n">
        <x:v>44191</x:v>
      </x:c>
      <x:c r="B1124" s="20" t="n">
        <x:v>0.0025</x:v>
      </x:c>
    </x:row>
    <x:row r="1125">
      <x:c r="A1125" s="17" t="n">
        <x:v>44192</x:v>
      </x:c>
      <x:c r="B1125" s="20" t="n">
        <x:v>0.0025</x:v>
      </x:c>
    </x:row>
    <x:row r="1126">
      <x:c r="A1126" s="17" t="n">
        <x:v>44193</x:v>
      </x:c>
      <x:c r="B1126" s="20" t="n">
        <x:v>0.0025</x:v>
      </x:c>
    </x:row>
    <x:row r="1127">
      <x:c r="A1127" s="17" t="n">
        <x:v>44194</x:v>
      </x:c>
      <x:c r="B1127" s="20" t="n">
        <x:v>0.0025</x:v>
      </x:c>
    </x:row>
    <x:row r="1128">
      <x:c r="A1128" s="17" t="n">
        <x:v>44195</x:v>
      </x:c>
      <x:c r="B1128" s="20" t="n">
        <x:v>0.0025</x:v>
      </x:c>
    </x:row>
    <x:row r="1129">
      <x:c r="A1129" s="17" t="n">
        <x:v>44196</x:v>
      </x:c>
      <x:c r="B1129" s="20" t="n">
        <x:v>0.0025</x:v>
      </x:c>
    </x:row>
    <x:row r="1130">
      <x:c r="A1130" s="17" t="n">
        <x:v>44197</x:v>
      </x:c>
      <x:c r="B1130" s="20" t="n">
        <x:v>0.0025</x:v>
      </x:c>
    </x:row>
    <x:row r="1131">
      <x:c r="A1131" s="17" t="n">
        <x:v>44198</x:v>
      </x:c>
      <x:c r="B1131" s="20" t="n">
        <x:v>0.0025</x:v>
      </x:c>
    </x:row>
    <x:row r="1132">
      <x:c r="A1132" s="17" t="n">
        <x:v>44199</x:v>
      </x:c>
      <x:c r="B1132" s="20" t="n">
        <x:v>0.0025</x:v>
      </x:c>
    </x:row>
    <x:row r="1133">
      <x:c r="A1133" s="17" t="n">
        <x:v>44200</x:v>
      </x:c>
      <x:c r="B1133" s="20" t="n">
        <x:v>0.0025</x:v>
      </x:c>
    </x:row>
    <x:row r="1134">
      <x:c r="A1134" s="17" t="n">
        <x:v>44201</x:v>
      </x:c>
      <x:c r="B1134" s="20" t="n">
        <x:v>0.0025</x:v>
      </x:c>
    </x:row>
    <x:row r="1135">
      <x:c r="A1135" s="17" t="n">
        <x:v>44202</x:v>
      </x:c>
      <x:c r="B1135" s="20" t="n">
        <x:v>0.0025</x:v>
      </x:c>
    </x:row>
    <x:row r="1136">
      <x:c r="A1136" s="17" t="n">
        <x:v>44203</x:v>
      </x:c>
      <x:c r="B1136" s="20" t="n">
        <x:v>0.0025</x:v>
      </x:c>
    </x:row>
    <x:row r="1137">
      <x:c r="A1137" s="17" t="n">
        <x:v>44204</x:v>
      </x:c>
      <x:c r="B1137" s="20" t="n">
        <x:v>0.0025</x:v>
      </x:c>
    </x:row>
    <x:row r="1138">
      <x:c r="A1138" s="17" t="n">
        <x:v>44205</x:v>
      </x:c>
      <x:c r="B1138" s="20" t="n">
        <x:v>0.0025</x:v>
      </x:c>
    </x:row>
    <x:row r="1139">
      <x:c r="A1139" s="17" t="n">
        <x:v>44206</x:v>
      </x:c>
      <x:c r="B1139" s="20" t="n">
        <x:v>0.0025</x:v>
      </x:c>
    </x:row>
    <x:row r="1140">
      <x:c r="A1140" s="17" t="n">
        <x:v>44207</x:v>
      </x:c>
      <x:c r="B1140" s="20" t="n">
        <x:v>0.0025</x:v>
      </x:c>
    </x:row>
    <x:row r="1141">
      <x:c r="A1141" s="17" t="n">
        <x:v>44208</x:v>
      </x:c>
      <x:c r="B1141" s="20" t="n">
        <x:v>0.0025</x:v>
      </x:c>
    </x:row>
    <x:row r="1142">
      <x:c r="A1142" s="17" t="n">
        <x:v>44209</x:v>
      </x:c>
      <x:c r="B1142" s="20" t="n">
        <x:v>0.0025</x:v>
      </x:c>
    </x:row>
    <x:row r="1143">
      <x:c r="A1143" s="17" t="n">
        <x:v>44210</x:v>
      </x:c>
      <x:c r="B1143" s="20" t="n">
        <x:v>0.0025</x:v>
      </x:c>
    </x:row>
    <x:row r="1144">
      <x:c r="A1144" s="17" t="n">
        <x:v>44211</x:v>
      </x:c>
      <x:c r="B1144" s="20" t="n">
        <x:v>0.0025</x:v>
      </x:c>
    </x:row>
    <x:row r="1145">
      <x:c r="A1145" s="17" t="n">
        <x:v>44212</x:v>
      </x:c>
      <x:c r="B1145" s="20" t="n">
        <x:v>0.0025</x:v>
      </x:c>
    </x:row>
    <x:row r="1146">
      <x:c r="A1146" s="17" t="n">
        <x:v>44213</x:v>
      </x:c>
      <x:c r="B1146" s="20" t="n">
        <x:v>0.0025</x:v>
      </x:c>
    </x:row>
    <x:row r="1147">
      <x:c r="A1147" s="17" t="n">
        <x:v>44214</x:v>
      </x:c>
      <x:c r="B1147" s="20" t="n">
        <x:v>0.0025</x:v>
      </x:c>
    </x:row>
    <x:row r="1148">
      <x:c r="A1148" s="17" t="n">
        <x:v>44215</x:v>
      </x:c>
      <x:c r="B1148" s="20" t="n">
        <x:v>0.0025</x:v>
      </x:c>
    </x:row>
    <x:row r="1149">
      <x:c r="A1149" s="17" t="n">
        <x:v>44216</x:v>
      </x:c>
      <x:c r="B1149" s="20" t="n">
        <x:v>0.0025</x:v>
      </x:c>
    </x:row>
    <x:row r="1150">
      <x:c r="A1150" s="17" t="n">
        <x:v>44217</x:v>
      </x:c>
      <x:c r="B1150" s="20" t="n">
        <x:v>0.0025</x:v>
      </x:c>
    </x:row>
    <x:row r="1151">
      <x:c r="A1151" s="17" t="n">
        <x:v>44218</x:v>
      </x:c>
      <x:c r="B1151" s="20" t="n">
        <x:v>0.0025</x:v>
      </x:c>
    </x:row>
    <x:row r="1152">
      <x:c r="A1152" s="17" t="n">
        <x:v>44219</x:v>
      </x:c>
      <x:c r="B1152" s="20" t="n">
        <x:v>0.0025</x:v>
      </x:c>
    </x:row>
    <x:row r="1153">
      <x:c r="A1153" s="17" t="n">
        <x:v>44220</x:v>
      </x:c>
      <x:c r="B1153" s="20" t="n">
        <x:v>0.0025</x:v>
      </x:c>
    </x:row>
    <x:row r="1154">
      <x:c r="A1154" s="17" t="n">
        <x:v>44221</x:v>
      </x:c>
      <x:c r="B1154" s="20" t="n">
        <x:v>0.0025</x:v>
      </x:c>
    </x:row>
    <x:row r="1155">
      <x:c r="A1155" s="17" t="n">
        <x:v>44222</x:v>
      </x:c>
      <x:c r="B1155" s="20" t="n">
        <x:v>0.0025</x:v>
      </x:c>
    </x:row>
    <x:row r="1156">
      <x:c r="A1156" s="17" t="n">
        <x:v>44223</x:v>
      </x:c>
      <x:c r="B1156" s="20" t="n">
        <x:v>0.0025</x:v>
      </x:c>
    </x:row>
    <x:row r="1157">
      <x:c r="A1157" s="17" t="n">
        <x:v>44224</x:v>
      </x:c>
      <x:c r="B1157" s="20" t="n">
        <x:v>0.0025</x:v>
      </x:c>
    </x:row>
    <x:row r="1158">
      <x:c r="A1158" s="17" t="n">
        <x:v>44225</x:v>
      </x:c>
      <x:c r="B1158" s="20" t="n">
        <x:v>0.0025</x:v>
      </x:c>
    </x:row>
    <x:row r="1159">
      <x:c r="A1159" s="17" t="n">
        <x:v>44226</x:v>
      </x:c>
      <x:c r="B1159" s="20" t="n">
        <x:v>0.0025</x:v>
      </x:c>
    </x:row>
    <x:row r="1160">
      <x:c r="A1160" s="17" t="n">
        <x:v>44227</x:v>
      </x:c>
      <x:c r="B1160" s="20" t="n">
        <x:v>0.0025</x:v>
      </x:c>
    </x:row>
    <x:row r="1161">
      <x:c r="A1161" s="17" t="n">
        <x:v>44228</x:v>
      </x:c>
      <x:c r="B1161" s="20" t="n">
        <x:v>0.0025</x:v>
      </x:c>
    </x:row>
    <x:row r="1162">
      <x:c r="A1162" s="17" t="n">
        <x:v>44229</x:v>
      </x:c>
      <x:c r="B1162" s="20" t="n">
        <x:v>0.0025</x:v>
      </x:c>
    </x:row>
    <x:row r="1163">
      <x:c r="A1163" s="17" t="n">
        <x:v>44230</x:v>
      </x:c>
      <x:c r="B1163" s="20" t="n">
        <x:v>0.0025</x:v>
      </x:c>
    </x:row>
    <x:row r="1164">
      <x:c r="A1164" s="17" t="n">
        <x:v>44231</x:v>
      </x:c>
      <x:c r="B1164" s="20" t="n">
        <x:v>0.0025</x:v>
      </x:c>
    </x:row>
    <x:row r="1165">
      <x:c r="A1165" s="17" t="n">
        <x:v>44232</x:v>
      </x:c>
      <x:c r="B1165" s="20" t="n">
        <x:v>0.0025</x:v>
      </x:c>
    </x:row>
    <x:row r="1166">
      <x:c r="A1166" s="17" t="n">
        <x:v>44233</x:v>
      </x:c>
      <x:c r="B1166" s="20" t="n">
        <x:v>0.0025</x:v>
      </x:c>
    </x:row>
    <x:row r="1167">
      <x:c r="A1167" s="17" t="n">
        <x:v>44234</x:v>
      </x:c>
      <x:c r="B1167" s="20" t="n">
        <x:v>0.0025</x:v>
      </x:c>
    </x:row>
    <x:row r="1168">
      <x:c r="A1168" s="17" t="n">
        <x:v>44235</x:v>
      </x:c>
      <x:c r="B1168" s="20" t="n">
        <x:v>0.0025</x:v>
      </x:c>
    </x:row>
    <x:row r="1169">
      <x:c r="A1169" s="17" t="n">
        <x:v>44236</x:v>
      </x:c>
      <x:c r="B1169" s="20" t="n">
        <x:v>0.0025</x:v>
      </x:c>
    </x:row>
    <x:row r="1170">
      <x:c r="A1170" s="17" t="n">
        <x:v>44237</x:v>
      </x:c>
      <x:c r="B1170" s="20" t="n">
        <x:v>0.0025</x:v>
      </x:c>
    </x:row>
    <x:row r="1171">
      <x:c r="A1171" s="17" t="n">
        <x:v>44238</x:v>
      </x:c>
      <x:c r="B1171" s="20" t="n">
        <x:v>0.0025</x:v>
      </x:c>
    </x:row>
    <x:row r="1172">
      <x:c r="A1172" s="17" t="n">
        <x:v>44239</x:v>
      </x:c>
      <x:c r="B1172" s="20" t="n">
        <x:v>0.0025</x:v>
      </x:c>
    </x:row>
    <x:row r="1173">
      <x:c r="A1173" s="17" t="n">
        <x:v>44240</x:v>
      </x:c>
      <x:c r="B1173" s="20" t="n">
        <x:v>0.0025</x:v>
      </x:c>
    </x:row>
    <x:row r="1174">
      <x:c r="A1174" s="17" t="n">
        <x:v>44241</x:v>
      </x:c>
      <x:c r="B1174" s="20" t="n">
        <x:v>0.0025</x:v>
      </x:c>
    </x:row>
    <x:row r="1175">
      <x:c r="A1175" s="17" t="n">
        <x:v>44242</x:v>
      </x:c>
      <x:c r="B1175" s="20" t="n">
        <x:v>0.0025</x:v>
      </x:c>
    </x:row>
    <x:row r="1176">
      <x:c r="A1176" s="17" t="n">
        <x:v>44243</x:v>
      </x:c>
      <x:c r="B1176" s="20" t="n">
        <x:v>0.0025</x:v>
      </x:c>
    </x:row>
    <x:row r="1177">
      <x:c r="A1177" s="17" t="n">
        <x:v>44244</x:v>
      </x:c>
      <x:c r="B1177" s="20" t="n">
        <x:v>0.0025</x:v>
      </x:c>
    </x:row>
    <x:row r="1178">
      <x:c r="A1178" s="17" t="n">
        <x:v>44245</x:v>
      </x:c>
      <x:c r="B1178" s="20" t="n">
        <x:v>0.0025</x:v>
      </x:c>
    </x:row>
    <x:row r="1179">
      <x:c r="A1179" s="17" t="n">
        <x:v>44246</x:v>
      </x:c>
      <x:c r="B1179" s="20" t="n">
        <x:v>0.0025</x:v>
      </x:c>
    </x:row>
    <x:row r="1180">
      <x:c r="A1180" s="17" t="n">
        <x:v>44247</x:v>
      </x:c>
      <x:c r="B1180" s="20" t="n">
        <x:v>0.0025</x:v>
      </x:c>
    </x:row>
    <x:row r="1181">
      <x:c r="A1181" s="17" t="n">
        <x:v>44248</x:v>
      </x:c>
      <x:c r="B1181" s="20" t="n">
        <x:v>0.0025</x:v>
      </x:c>
    </x:row>
    <x:row r="1182">
      <x:c r="A1182" s="17" t="n">
        <x:v>44249</x:v>
      </x:c>
      <x:c r="B1182" s="20" t="n">
        <x:v>0.0025</x:v>
      </x:c>
    </x:row>
    <x:row r="1183">
      <x:c r="A1183" s="17" t="n">
        <x:v>44250</x:v>
      </x:c>
      <x:c r="B1183" s="20" t="n">
        <x:v>0.0025</x:v>
      </x:c>
    </x:row>
    <x:row r="1184">
      <x:c r="A1184" s="17" t="n">
        <x:v>44251</x:v>
      </x:c>
      <x:c r="B1184" s="20" t="n">
        <x:v>0.0025</x:v>
      </x:c>
    </x:row>
    <x:row r="1185">
      <x:c r="A1185" s="17" t="n">
        <x:v>44252</x:v>
      </x:c>
      <x:c r="B1185" s="20" t="n">
        <x:v>0.0025</x:v>
      </x:c>
    </x:row>
    <x:row r="1186">
      <x:c r="A1186" s="17" t="n">
        <x:v>44253</x:v>
      </x:c>
      <x:c r="B1186" s="20" t="n">
        <x:v>0.0025</x:v>
      </x:c>
    </x:row>
    <x:row r="1187">
      <x:c r="A1187" s="17" t="n">
        <x:v>44254</x:v>
      </x:c>
      <x:c r="B1187" s="20" t="n">
        <x:v>0.0025</x:v>
      </x:c>
    </x:row>
    <x:row r="1188">
      <x:c r="A1188" s="17" t="n">
        <x:v>44255</x:v>
      </x:c>
      <x:c r="B1188" s="20" t="n">
        <x:v>0.0025</x:v>
      </x:c>
    </x:row>
    <x:row r="1189">
      <x:c r="A1189" s="17" t="n">
        <x:v>44256</x:v>
      </x:c>
      <x:c r="B1189" s="20" t="n">
        <x:v>0.0025</x:v>
      </x:c>
    </x:row>
    <x:row r="1190">
      <x:c r="A1190" s="17" t="n">
        <x:v>44257</x:v>
      </x:c>
      <x:c r="B1190" s="20" t="n">
        <x:v>0.0025</x:v>
      </x:c>
    </x:row>
    <x:row r="1191">
      <x:c r="A1191" s="17" t="n">
        <x:v>44258</x:v>
      </x:c>
      <x:c r="B1191" s="20" t="n">
        <x:v>0.0025</x:v>
      </x:c>
    </x:row>
    <x:row r="1192">
      <x:c r="A1192" s="17" t="n">
        <x:v>44259</x:v>
      </x:c>
      <x:c r="B1192" s="20" t="n">
        <x:v>0.0025</x:v>
      </x:c>
    </x:row>
    <x:row r="1193">
      <x:c r="A1193" s="17" t="n">
        <x:v>44260</x:v>
      </x:c>
      <x:c r="B1193" s="20" t="n">
        <x:v>0.0025</x:v>
      </x:c>
    </x:row>
    <x:row r="1194">
      <x:c r="A1194" s="17" t="n">
        <x:v>44261</x:v>
      </x:c>
      <x:c r="B1194" s="20" t="n">
        <x:v>0.0025</x:v>
      </x:c>
    </x:row>
    <x:row r="1195">
      <x:c r="A1195" s="17" t="n">
        <x:v>44262</x:v>
      </x:c>
      <x:c r="B1195" s="20" t="n">
        <x:v>0.0025</x:v>
      </x:c>
    </x:row>
    <x:row r="1196">
      <x:c r="A1196" s="17" t="n">
        <x:v>44263</x:v>
      </x:c>
      <x:c r="B1196" s="20" t="n">
        <x:v>0.0025</x:v>
      </x:c>
    </x:row>
    <x:row r="1197">
      <x:c r="A1197" s="17" t="n">
        <x:v>44264</x:v>
      </x:c>
      <x:c r="B1197" s="20" t="n">
        <x:v>0.0025</x:v>
      </x:c>
    </x:row>
    <x:row r="1198">
      <x:c r="A1198" s="17" t="n">
        <x:v>44265</x:v>
      </x:c>
      <x:c r="B1198" s="20" t="n">
        <x:v>0.0025</x:v>
      </x:c>
    </x:row>
    <x:row r="1199">
      <x:c r="A1199" s="17" t="n">
        <x:v>44266</x:v>
      </x:c>
      <x:c r="B1199" s="20" t="n">
        <x:v>0.0025</x:v>
      </x:c>
    </x:row>
    <x:row r="1200">
      <x:c r="A1200" s="17" t="n">
        <x:v>44267</x:v>
      </x:c>
      <x:c r="B1200" s="20" t="n">
        <x:v>0.0025</x:v>
      </x:c>
    </x:row>
    <x:row r="1201">
      <x:c r="A1201" s="17" t="n">
        <x:v>44268</x:v>
      </x:c>
      <x:c r="B1201" s="20" t="n">
        <x:v>0.0025</x:v>
      </x:c>
    </x:row>
    <x:row r="1202">
      <x:c r="A1202" s="17" t="n">
        <x:v>44269</x:v>
      </x:c>
      <x:c r="B1202" s="20" t="n">
        <x:v>0.0025</x:v>
      </x:c>
    </x:row>
    <x:row r="1203">
      <x:c r="A1203" s="17" t="n">
        <x:v>44270</x:v>
      </x:c>
      <x:c r="B1203" s="20" t="n">
        <x:v>0.0025</x:v>
      </x:c>
    </x:row>
    <x:row r="1204">
      <x:c r="A1204" s="17" t="n">
        <x:v>44271</x:v>
      </x:c>
      <x:c r="B1204" s="20" t="n">
        <x:v>0.0025</x:v>
      </x:c>
    </x:row>
    <x:row r="1205">
      <x:c r="A1205" s="17" t="n">
        <x:v>44272</x:v>
      </x:c>
      <x:c r="B1205" s="20" t="n">
        <x:v>0.0025</x:v>
      </x:c>
    </x:row>
    <x:row r="1206">
      <x:c r="A1206" s="17" t="n">
        <x:v>44273</x:v>
      </x:c>
      <x:c r="B1206" s="20" t="n">
        <x:v>0.0025</x:v>
      </x:c>
    </x:row>
    <x:row r="1207">
      <x:c r="A1207" s="17" t="n">
        <x:v>44274</x:v>
      </x:c>
      <x:c r="B1207" s="20" t="n">
        <x:v>0.0025</x:v>
      </x:c>
    </x:row>
    <x:row r="1208">
      <x:c r="A1208" s="17" t="n">
        <x:v>44275</x:v>
      </x:c>
      <x:c r="B1208" s="20" t="n">
        <x:v>0.0025</x:v>
      </x:c>
    </x:row>
    <x:row r="1209">
      <x:c r="A1209" s="17" t="n">
        <x:v>44276</x:v>
      </x:c>
      <x:c r="B1209" s="20" t="n">
        <x:v>0.0025</x:v>
      </x:c>
    </x:row>
    <x:row r="1210">
      <x:c r="A1210" s="17" t="n">
        <x:v>44277</x:v>
      </x:c>
      <x:c r="B1210" s="20" t="n">
        <x:v>0.0025</x:v>
      </x:c>
    </x:row>
    <x:row r="1211">
      <x:c r="A1211" s="17" t="n">
        <x:v>44278</x:v>
      </x:c>
      <x:c r="B1211" s="20" t="n">
        <x:v>0.0025</x:v>
      </x:c>
    </x:row>
    <x:row r="1212">
      <x:c r="A1212" s="17" t="n">
        <x:v>44279</x:v>
      </x:c>
      <x:c r="B1212" s="20" t="n">
        <x:v>0.0025</x:v>
      </x:c>
    </x:row>
    <x:row r="1213">
      <x:c r="A1213" s="17" t="n">
        <x:v>44280</x:v>
      </x:c>
      <x:c r="B1213" s="20" t="n">
        <x:v>0.0025</x:v>
      </x:c>
    </x:row>
    <x:row r="1214">
      <x:c r="A1214" s="17" t="n">
        <x:v>44281</x:v>
      </x:c>
      <x:c r="B1214" s="20" t="n">
        <x:v>0.0025</x:v>
      </x:c>
    </x:row>
    <x:row r="1215">
      <x:c r="A1215" s="17" t="n">
        <x:v>44282</x:v>
      </x:c>
      <x:c r="B1215" s="20" t="n">
        <x:v>0.0025</x:v>
      </x:c>
    </x:row>
    <x:row r="1216">
      <x:c r="A1216" s="17" t="n">
        <x:v>44283</x:v>
      </x:c>
      <x:c r="B1216" s="20" t="n">
        <x:v>0.0025</x:v>
      </x:c>
    </x:row>
    <x:row r="1217">
      <x:c r="A1217" s="17" t="n">
        <x:v>44284</x:v>
      </x:c>
      <x:c r="B1217" s="20" t="n">
        <x:v>0.0025</x:v>
      </x:c>
    </x:row>
    <x:row r="1218">
      <x:c r="A1218" s="17" t="n">
        <x:v>44285</x:v>
      </x:c>
      <x:c r="B1218" s="20" t="n">
        <x:v>0.0025</x:v>
      </x:c>
    </x:row>
    <x:row r="1219">
      <x:c r="A1219" s="17" t="n">
        <x:v>44286</x:v>
      </x:c>
      <x:c r="B1219" s="20" t="n">
        <x:v>0.0025</x:v>
      </x:c>
    </x:row>
    <x:row r="1220">
      <x:c r="A1220" s="17" t="n">
        <x:v>44287</x:v>
      </x:c>
      <x:c r="B1220" s="20" t="n">
        <x:v>0.0025</x:v>
      </x:c>
    </x:row>
    <x:row r="1221">
      <x:c r="A1221" s="17" t="n">
        <x:v>44288</x:v>
      </x:c>
      <x:c r="B1221" s="20" t="n">
        <x:v>0.0025</x:v>
      </x:c>
    </x:row>
    <x:row r="1222">
      <x:c r="A1222" s="17" t="n">
        <x:v>44289</x:v>
      </x:c>
      <x:c r="B1222" s="20" t="n">
        <x:v>0.0025</x:v>
      </x:c>
    </x:row>
    <x:row r="1223">
      <x:c r="A1223" s="17" t="n">
        <x:v>44290</x:v>
      </x:c>
      <x:c r="B1223" s="20" t="n">
        <x:v>0.0025</x:v>
      </x:c>
    </x:row>
    <x:row r="1224">
      <x:c r="A1224" s="17" t="n">
        <x:v>44291</x:v>
      </x:c>
      <x:c r="B1224" s="20" t="n">
        <x:v>0.0025</x:v>
      </x:c>
    </x:row>
    <x:row r="1225">
      <x:c r="A1225" s="17" t="n">
        <x:v>44292</x:v>
      </x:c>
      <x:c r="B1225" s="20" t="n">
        <x:v>0.0025</x:v>
      </x:c>
    </x:row>
    <x:row r="1226">
      <x:c r="A1226" s="17" t="n">
        <x:v>44293</x:v>
      </x:c>
      <x:c r="B1226" s="20" t="n">
        <x:v>0.0025</x:v>
      </x:c>
    </x:row>
    <x:row r="1227">
      <x:c r="A1227" s="17" t="n">
        <x:v>44294</x:v>
      </x:c>
      <x:c r="B1227" s="20" t="n">
        <x:v>0.0025</x:v>
      </x:c>
    </x:row>
    <x:row r="1228">
      <x:c r="A1228" s="17" t="n">
        <x:v>44295</x:v>
      </x:c>
      <x:c r="B1228" s="20" t="n">
        <x:v>0.0025</x:v>
      </x:c>
    </x:row>
    <x:row r="1229">
      <x:c r="A1229" s="17" t="n">
        <x:v>44296</x:v>
      </x:c>
      <x:c r="B1229" s="20" t="n">
        <x:v>0.0025</x:v>
      </x:c>
    </x:row>
    <x:row r="1230">
      <x:c r="A1230" s="17" t="n">
        <x:v>44297</x:v>
      </x:c>
      <x:c r="B1230" s="20" t="n">
        <x:v>0.0025</x:v>
      </x:c>
    </x:row>
    <x:row r="1231">
      <x:c r="A1231" s="17" t="n">
        <x:v>44298</x:v>
      </x:c>
      <x:c r="B1231" s="20" t="n">
        <x:v>0.0025</x:v>
      </x:c>
    </x:row>
    <x:row r="1232">
      <x:c r="A1232" s="17" t="n">
        <x:v>44299</x:v>
      </x:c>
      <x:c r="B1232" s="20" t="n">
        <x:v>0.0025</x:v>
      </x:c>
    </x:row>
    <x:row r="1233">
      <x:c r="A1233" s="17" t="n">
        <x:v>44300</x:v>
      </x:c>
      <x:c r="B1233" s="20" t="n">
        <x:v>0.0025</x:v>
      </x:c>
    </x:row>
    <x:row r="1234">
      <x:c r="A1234" s="17" t="n">
        <x:v>44301</x:v>
      </x:c>
      <x:c r="B1234" s="20" t="n">
        <x:v>0.0025</x:v>
      </x:c>
    </x:row>
    <x:row r="1235">
      <x:c r="A1235" s="17" t="n">
        <x:v>44302</x:v>
      </x:c>
      <x:c r="B1235" s="20" t="n">
        <x:v>0.0025</x:v>
      </x:c>
    </x:row>
    <x:row r="1236">
      <x:c r="A1236" s="17" t="n">
        <x:v>44303</x:v>
      </x:c>
      <x:c r="B1236" s="20" t="n">
        <x:v>0.0025</x:v>
      </x:c>
    </x:row>
    <x:row r="1237">
      <x:c r="A1237" s="17" t="n">
        <x:v>44304</x:v>
      </x:c>
      <x:c r="B1237" s="20" t="n">
        <x:v>0.0025</x:v>
      </x:c>
    </x:row>
    <x:row r="1238">
      <x:c r="A1238" s="17" t="n">
        <x:v>44305</x:v>
      </x:c>
      <x:c r="B1238" s="20" t="n">
        <x:v>0.0025</x:v>
      </x:c>
    </x:row>
    <x:row r="1239">
      <x:c r="A1239" s="17" t="n">
        <x:v>44306</x:v>
      </x:c>
      <x:c r="B1239" s="20" t="n">
        <x:v>0.0025</x:v>
      </x:c>
    </x:row>
    <x:row r="1240">
      <x:c r="A1240" s="17" t="n">
        <x:v>44307</x:v>
      </x:c>
      <x:c r="B1240" s="20" t="n">
        <x:v>0.0025</x:v>
      </x:c>
    </x:row>
    <x:row r="1241">
      <x:c r="A1241" s="17" t="n">
        <x:v>44308</x:v>
      </x:c>
      <x:c r="B1241" s="20" t="n">
        <x:v>0.0025</x:v>
      </x:c>
    </x:row>
    <x:row r="1242">
      <x:c r="A1242" s="17" t="n">
        <x:v>44309</x:v>
      </x:c>
      <x:c r="B1242" s="20" t="n">
        <x:v>0.0025</x:v>
      </x:c>
    </x:row>
    <x:row r="1243">
      <x:c r="A1243" s="17" t="n">
        <x:v>44310</x:v>
      </x:c>
      <x:c r="B1243" s="20" t="n">
        <x:v>0.0025</x:v>
      </x:c>
    </x:row>
    <x:row r="1244">
      <x:c r="A1244" s="17" t="n">
        <x:v>44311</x:v>
      </x:c>
      <x:c r="B1244" s="20" t="n">
        <x:v>0.0025</x:v>
      </x:c>
    </x:row>
    <x:row r="1245">
      <x:c r="A1245" s="17" t="n">
        <x:v>44312</x:v>
      </x:c>
      <x:c r="B1245" s="20" t="n">
        <x:v>0.0025</x:v>
      </x:c>
    </x:row>
    <x:row r="1246">
      <x:c r="A1246" s="17" t="n">
        <x:v>44313</x:v>
      </x:c>
      <x:c r="B1246" s="20" t="n">
        <x:v>0.0025</x:v>
      </x:c>
    </x:row>
    <x:row r="1247">
      <x:c r="A1247" s="17" t="n">
        <x:v>44314</x:v>
      </x:c>
      <x:c r="B1247" s="20" t="n">
        <x:v>0.0025</x:v>
      </x:c>
    </x:row>
    <x:row r="1248">
      <x:c r="A1248" s="17" t="n">
        <x:v>44315</x:v>
      </x:c>
      <x:c r="B1248" s="20" t="n">
        <x:v>0.0025</x:v>
      </x:c>
    </x:row>
    <x:row r="1249">
      <x:c r="A1249" s="17" t="n">
        <x:v>44316</x:v>
      </x:c>
      <x:c r="B1249" s="20" t="n">
        <x:v>0.0025</x:v>
      </x:c>
    </x:row>
    <x:row r="1250">
      <x:c r="A1250" s="17" t="n">
        <x:v>44317</x:v>
      </x:c>
      <x:c r="B1250" s="20" t="n">
        <x:v>0.0025</x:v>
      </x:c>
    </x:row>
    <x:row r="1251">
      <x:c r="A1251" s="17" t="n">
        <x:v>44318</x:v>
      </x:c>
      <x:c r="B1251" s="20" t="n">
        <x:v>0.0025</x:v>
      </x:c>
    </x:row>
    <x:row r="1252">
      <x:c r="A1252" s="17" t="n">
        <x:v>44319</x:v>
      </x:c>
      <x:c r="B1252" s="20" t="n">
        <x:v>0.0025</x:v>
      </x:c>
    </x:row>
    <x:row r="1253">
      <x:c r="A1253" s="17" t="n">
        <x:v>44320</x:v>
      </x:c>
      <x:c r="B1253" s="20" t="n">
        <x:v>0.0025</x:v>
      </x:c>
    </x:row>
    <x:row r="1254">
      <x:c r="A1254" s="17" t="n">
        <x:v>44321</x:v>
      </x:c>
      <x:c r="B1254" s="20" t="n">
        <x:v>0.0025</x:v>
      </x:c>
    </x:row>
    <x:row r="1255">
      <x:c r="A1255" s="17" t="n">
        <x:v>44322</x:v>
      </x:c>
      <x:c r="B1255" s="20" t="n">
        <x:v>0.0025</x:v>
      </x:c>
    </x:row>
    <x:row r="1256">
      <x:c r="A1256" s="17" t="n">
        <x:v>44323</x:v>
      </x:c>
      <x:c r="B1256" s="20" t="n">
        <x:v>0.0025</x:v>
      </x:c>
    </x:row>
    <x:row r="1257">
      <x:c r="A1257" s="17" t="n">
        <x:v>44324</x:v>
      </x:c>
      <x:c r="B1257" s="20" t="n">
        <x:v>0.0025</x:v>
      </x:c>
    </x:row>
    <x:row r="1258">
      <x:c r="A1258" s="17" t="n">
        <x:v>44325</x:v>
      </x:c>
      <x:c r="B1258" s="20" t="n">
        <x:v>0.0025</x:v>
      </x:c>
    </x:row>
    <x:row r="1259">
      <x:c r="A1259" s="17" t="n">
        <x:v>44326</x:v>
      </x:c>
      <x:c r="B1259" s="20" t="n">
        <x:v>0.0025</x:v>
      </x:c>
    </x:row>
    <x:row r="1260">
      <x:c r="A1260" s="17" t="n">
        <x:v>44327</x:v>
      </x:c>
      <x:c r="B1260" s="20" t="n">
        <x:v>0.0025</x:v>
      </x:c>
    </x:row>
    <x:row r="1261">
      <x:c r="A1261" s="17" t="n">
        <x:v>44328</x:v>
      </x:c>
      <x:c r="B1261" s="20" t="n">
        <x:v>0.0025</x:v>
      </x:c>
    </x:row>
    <x:row r="1262">
      <x:c r="A1262" s="17" t="n">
        <x:v>44329</x:v>
      </x:c>
      <x:c r="B1262" s="20" t="n">
        <x:v>0.0025</x:v>
      </x:c>
    </x:row>
    <x:row r="1263">
      <x:c r="A1263" s="17" t="n">
        <x:v>44330</x:v>
      </x:c>
      <x:c r="B1263" s="20" t="n">
        <x:v>0.0025</x:v>
      </x:c>
    </x:row>
    <x:row r="1264">
      <x:c r="A1264" s="17" t="n">
        <x:v>44331</x:v>
      </x:c>
      <x:c r="B1264" s="20" t="n">
        <x:v>0.0025</x:v>
      </x:c>
    </x:row>
    <x:row r="1265">
      <x:c r="A1265" s="17" t="n">
        <x:v>44332</x:v>
      </x:c>
      <x:c r="B1265" s="20" t="n">
        <x:v>0.0025</x:v>
      </x:c>
    </x:row>
    <x:row r="1266">
      <x:c r="A1266" s="17" t="n">
        <x:v>44333</x:v>
      </x:c>
      <x:c r="B1266" s="20" t="n">
        <x:v>0.0025</x:v>
      </x:c>
    </x:row>
    <x:row r="1267">
      <x:c r="A1267" s="17" t="n">
        <x:v>44334</x:v>
      </x:c>
      <x:c r="B1267" s="20" t="n">
        <x:v>0.0025</x:v>
      </x:c>
    </x:row>
    <x:row r="1268">
      <x:c r="A1268" s="17" t="n">
        <x:v>44335</x:v>
      </x:c>
      <x:c r="B1268" s="20" t="n">
        <x:v>0.0025</x:v>
      </x:c>
    </x:row>
    <x:row r="1269">
      <x:c r="A1269" s="17" t="n">
        <x:v>44336</x:v>
      </x:c>
      <x:c r="B1269" s="20" t="n">
        <x:v>0.0025</x:v>
      </x:c>
    </x:row>
    <x:row r="1270">
      <x:c r="A1270" s="17" t="n">
        <x:v>44337</x:v>
      </x:c>
      <x:c r="B1270" s="20" t="n">
        <x:v>0.0025</x:v>
      </x:c>
    </x:row>
    <x:row r="1271">
      <x:c r="A1271" s="17" t="n">
        <x:v>44338</x:v>
      </x:c>
      <x:c r="B1271" s="20" t="n">
        <x:v>0.0025</x:v>
      </x:c>
    </x:row>
    <x:row r="1272">
      <x:c r="A1272" s="17" t="n">
        <x:v>44339</x:v>
      </x:c>
      <x:c r="B1272" s="20" t="n">
        <x:v>0.0025</x:v>
      </x:c>
    </x:row>
    <x:row r="1273">
      <x:c r="A1273" s="17" t="n">
        <x:v>44340</x:v>
      </x:c>
      <x:c r="B1273" s="20" t="n">
        <x:v>0.0025</x:v>
      </x:c>
    </x:row>
    <x:row r="1274">
      <x:c r="A1274" s="17" t="n">
        <x:v>44341</x:v>
      </x:c>
      <x:c r="B1274" s="20" t="n">
        <x:v>0.0025</x:v>
      </x:c>
    </x:row>
    <x:row r="1275">
      <x:c r="A1275" s="17" t="n">
        <x:v>44342</x:v>
      </x:c>
      <x:c r="B1275" s="20" t="n">
        <x:v>0.0025</x:v>
      </x:c>
    </x:row>
    <x:row r="1276">
      <x:c r="A1276" s="17" t="n">
        <x:v>44343</x:v>
      </x:c>
      <x:c r="B1276" s="20" t="n">
        <x:v>0.0025</x:v>
      </x:c>
    </x:row>
    <x:row r="1277">
      <x:c r="A1277" s="17" t="n">
        <x:v>44344</x:v>
      </x:c>
      <x:c r="B1277" s="20" t="n">
        <x:v>0.0025</x:v>
      </x:c>
    </x:row>
    <x:row r="1278">
      <x:c r="A1278" s="17" t="n">
        <x:v>44345</x:v>
      </x:c>
      <x:c r="B1278" s="20" t="n">
        <x:v>0.0025</x:v>
      </x:c>
    </x:row>
    <x:row r="1279">
      <x:c r="A1279" s="17" t="n">
        <x:v>44346</x:v>
      </x:c>
      <x:c r="B1279" s="20" t="n">
        <x:v>0.0025</x:v>
      </x:c>
    </x:row>
    <x:row r="1280">
      <x:c r="A1280" s="17" t="n">
        <x:v>44347</x:v>
      </x:c>
      <x:c r="B1280" s="20" t="n">
        <x:v>0.0025</x:v>
      </x:c>
    </x:row>
    <x:row r="1281">
      <x:c r="A1281" s="17" t="n">
        <x:v>44348</x:v>
      </x:c>
      <x:c r="B1281" s="20" t="n">
        <x:v>0.0025</x:v>
      </x:c>
    </x:row>
    <x:row r="1282">
      <x:c r="A1282" s="17" t="n">
        <x:v>44349</x:v>
      </x:c>
      <x:c r="B1282" s="20" t="n">
        <x:v>0.0025</x:v>
      </x:c>
    </x:row>
    <x:row r="1283">
      <x:c r="A1283" s="17" t="n">
        <x:v>44350</x:v>
      </x:c>
      <x:c r="B1283" s="20" t="n">
        <x:v>0.0025</x:v>
      </x:c>
    </x:row>
    <x:row r="1284">
      <x:c r="A1284" s="17" t="n">
        <x:v>44351</x:v>
      </x:c>
      <x:c r="B1284" s="20" t="n">
        <x:v>0.0025</x:v>
      </x:c>
    </x:row>
    <x:row r="1285">
      <x:c r="A1285" s="17" t="n">
        <x:v>44352</x:v>
      </x:c>
      <x:c r="B1285" s="20" t="n">
        <x:v>0.0025</x:v>
      </x:c>
    </x:row>
    <x:row r="1286">
      <x:c r="A1286" s="17" t="n">
        <x:v>44353</x:v>
      </x:c>
      <x:c r="B1286" s="20" t="n">
        <x:v>0.0025</x:v>
      </x:c>
    </x:row>
    <x:row r="1287">
      <x:c r="A1287" s="17" t="n">
        <x:v>44354</x:v>
      </x:c>
      <x:c r="B1287" s="20" t="n">
        <x:v>0.0025</x:v>
      </x:c>
    </x:row>
    <x:row r="1288">
      <x:c r="A1288" s="17" t="n">
        <x:v>44355</x:v>
      </x:c>
      <x:c r="B1288" s="20" t="n">
        <x:v>0.0025</x:v>
      </x:c>
    </x:row>
    <x:row r="1289">
      <x:c r="A1289" s="17" t="n">
        <x:v>44356</x:v>
      </x:c>
      <x:c r="B1289" s="20" t="n">
        <x:v>0.0025</x:v>
      </x:c>
    </x:row>
    <x:row r="1290">
      <x:c r="A1290" s="17" t="n">
        <x:v>44357</x:v>
      </x:c>
      <x:c r="B1290" s="20" t="n">
        <x:v>0.0025</x:v>
      </x:c>
    </x:row>
    <x:row r="1291">
      <x:c r="A1291" s="17" t="n">
        <x:v>44358</x:v>
      </x:c>
      <x:c r="B1291" s="20" t="n">
        <x:v>0.0025</x:v>
      </x:c>
    </x:row>
    <x:row r="1292">
      <x:c r="A1292" s="17" t="n">
        <x:v>44359</x:v>
      </x:c>
      <x:c r="B1292" s="20" t="n">
        <x:v>0.0025</x:v>
      </x:c>
    </x:row>
    <x:row r="1293">
      <x:c r="A1293" s="17" t="n">
        <x:v>44360</x:v>
      </x:c>
      <x:c r="B1293" s="20" t="n">
        <x:v>0.0025</x:v>
      </x:c>
    </x:row>
    <x:row r="1294">
      <x:c r="A1294" s="17" t="n">
        <x:v>44361</x:v>
      </x:c>
      <x:c r="B1294" s="20" t="n">
        <x:v>0.0025</x:v>
      </x:c>
    </x:row>
    <x:row r="1295">
      <x:c r="A1295" s="17" t="n">
        <x:v>44362</x:v>
      </x:c>
      <x:c r="B1295" s="20" t="n">
        <x:v>0.0025</x:v>
      </x:c>
    </x:row>
    <x:row r="1296">
      <x:c r="A1296" s="17" t="n">
        <x:v>44363</x:v>
      </x:c>
      <x:c r="B1296" s="20" t="n">
        <x:v>0.0025</x:v>
      </x:c>
    </x:row>
    <x:row r="1297">
      <x:c r="A1297" s="17" t="n">
        <x:v>44364</x:v>
      </x:c>
      <x:c r="B1297" s="20" t="n">
        <x:v>0.0025</x:v>
      </x:c>
    </x:row>
    <x:row r="1298">
      <x:c r="A1298" s="17" t="n">
        <x:v>44365</x:v>
      </x:c>
      <x:c r="B1298" s="20" t="n">
        <x:v>0.0025</x:v>
      </x:c>
    </x:row>
    <x:row r="1299">
      <x:c r="A1299" s="17" t="n">
        <x:v>44366</x:v>
      </x:c>
      <x:c r="B1299" s="20" t="n">
        <x:v>0.0025</x:v>
      </x:c>
    </x:row>
    <x:row r="1300">
      <x:c r="A1300" s="17" t="n">
        <x:v>44367</x:v>
      </x:c>
      <x:c r="B1300" s="20" t="n">
        <x:v>0.0025</x:v>
      </x:c>
    </x:row>
    <x:row r="1301">
      <x:c r="A1301" s="17" t="n">
        <x:v>44368</x:v>
      </x:c>
      <x:c r="B1301" s="20" t="n">
        <x:v>0.0025</x:v>
      </x:c>
    </x:row>
    <x:row r="1302">
      <x:c r="A1302" s="17" t="n">
        <x:v>44369</x:v>
      </x:c>
      <x:c r="B1302" s="20" t="n">
        <x:v>0.0025</x:v>
      </x:c>
    </x:row>
    <x:row r="1303">
      <x:c r="A1303" s="17" t="n">
        <x:v>44370</x:v>
      </x:c>
      <x:c r="B1303" s="20" t="n">
        <x:v>0.0025</x:v>
      </x:c>
    </x:row>
    <x:row r="1304">
      <x:c r="A1304" s="17" t="n">
        <x:v>44371</x:v>
      </x:c>
      <x:c r="B1304" s="20" t="n">
        <x:v>0.0025</x:v>
      </x:c>
    </x:row>
    <x:row r="1305">
      <x:c r="A1305" s="17" t="n">
        <x:v>44372</x:v>
      </x:c>
      <x:c r="B1305" s="20" t="n">
        <x:v>0.0025</x:v>
      </x:c>
    </x:row>
    <x:row r="1306">
      <x:c r="A1306" s="17" t="n">
        <x:v>44373</x:v>
      </x:c>
      <x:c r="B1306" s="20" t="n">
        <x:v>0.0025</x:v>
      </x:c>
    </x:row>
    <x:row r="1307">
      <x:c r="A1307" s="17" t="n">
        <x:v>44374</x:v>
      </x:c>
      <x:c r="B1307" s="20" t="n">
        <x:v>0.0025</x:v>
      </x:c>
    </x:row>
    <x:row r="1308">
      <x:c r="A1308" s="17" t="n">
        <x:v>44375</x:v>
      </x:c>
      <x:c r="B1308" s="20" t="n">
        <x:v>0.0025</x:v>
      </x:c>
    </x:row>
    <x:row r="1309">
      <x:c r="A1309" s="17" t="n">
        <x:v>44376</x:v>
      </x:c>
      <x:c r="B1309" s="20" t="n">
        <x:v>0.0025</x:v>
      </x:c>
    </x:row>
    <x:row r="1310">
      <x:c r="A1310" s="17" t="n">
        <x:v>44377</x:v>
      </x:c>
      <x:c r="B1310" s="20" t="n">
        <x:v>0.0025</x:v>
      </x:c>
    </x:row>
    <x:row r="1311">
      <x:c r="A1311" s="17" t="n">
        <x:v>44378</x:v>
      </x:c>
      <x:c r="B1311" s="20" t="n">
        <x:v>0.0025</x:v>
      </x:c>
    </x:row>
    <x:row r="1312">
      <x:c r="A1312" s="17" t="n">
        <x:v>44379</x:v>
      </x:c>
      <x:c r="B1312" s="20" t="n">
        <x:v>0.0025</x:v>
      </x:c>
    </x:row>
    <x:row r="1313">
      <x:c r="A1313" s="17" t="n">
        <x:v>44380</x:v>
      </x:c>
      <x:c r="B1313" s="20" t="n">
        <x:v>0.0025</x:v>
      </x:c>
    </x:row>
    <x:row r="1314">
      <x:c r="A1314" s="17" t="n">
        <x:v>44381</x:v>
      </x:c>
      <x:c r="B1314" s="20" t="n">
        <x:v>0.0025</x:v>
      </x:c>
    </x:row>
    <x:row r="1315">
      <x:c r="A1315" s="17" t="n">
        <x:v>44382</x:v>
      </x:c>
      <x:c r="B1315" s="20" t="n">
        <x:v>0.0025</x:v>
      </x:c>
    </x:row>
    <x:row r="1316">
      <x:c r="A1316" s="17" t="n">
        <x:v>44383</x:v>
      </x:c>
      <x:c r="B1316" s="20" t="n">
        <x:v>0.0025</x:v>
      </x:c>
    </x:row>
    <x:row r="1317">
      <x:c r="A1317" s="17" t="n">
        <x:v>44384</x:v>
      </x:c>
      <x:c r="B1317" s="20" t="n">
        <x:v>0.0025</x:v>
      </x:c>
    </x:row>
    <x:row r="1318">
      <x:c r="A1318" s="17" t="n">
        <x:v>44385</x:v>
      </x:c>
      <x:c r="B1318" s="20" t="n">
        <x:v>0.0025</x:v>
      </x:c>
    </x:row>
    <x:row r="1319">
      <x:c r="A1319" s="17" t="n">
        <x:v>44386</x:v>
      </x:c>
      <x:c r="B1319" s="20" t="n">
        <x:v>0.0025</x:v>
      </x:c>
    </x:row>
    <x:row r="1320">
      <x:c r="A1320" s="17" t="n">
        <x:v>44387</x:v>
      </x:c>
      <x:c r="B1320" s="20" t="n">
        <x:v>0.0025</x:v>
      </x:c>
    </x:row>
    <x:row r="1321">
      <x:c r="A1321" s="17" t="n">
        <x:v>44388</x:v>
      </x:c>
      <x:c r="B1321" s="20" t="n">
        <x:v>0.0025</x:v>
      </x:c>
    </x:row>
    <x:row r="1322">
      <x:c r="A1322" s="17" t="n">
        <x:v>44389</x:v>
      </x:c>
      <x:c r="B1322" s="20" t="n">
        <x:v>0.0025</x:v>
      </x:c>
    </x:row>
    <x:row r="1323">
      <x:c r="A1323" s="17" t="n">
        <x:v>44390</x:v>
      </x:c>
      <x:c r="B1323" s="20" t="n">
        <x:v>0.0025</x:v>
      </x:c>
    </x:row>
    <x:row r="1324">
      <x:c r="A1324" s="17" t="n">
        <x:v>44391</x:v>
      </x:c>
      <x:c r="B1324" s="20" t="n">
        <x:v>0.0025</x:v>
      </x:c>
    </x:row>
    <x:row r="1325">
      <x:c r="A1325" s="17" t="n">
        <x:v>44392</x:v>
      </x:c>
      <x:c r="B1325" s="20" t="n">
        <x:v>0.0025</x:v>
      </x:c>
    </x:row>
    <x:row r="1326">
      <x:c r="A1326" s="17" t="n">
        <x:v>44393</x:v>
      </x:c>
      <x:c r="B1326" s="20" t="n">
        <x:v>0.0025</x:v>
      </x:c>
    </x:row>
    <x:row r="1327">
      <x:c r="A1327" s="17" t="n">
        <x:v>44394</x:v>
      </x:c>
      <x:c r="B1327" s="20" t="n">
        <x:v>0.0025</x:v>
      </x:c>
    </x:row>
    <x:row r="1328">
      <x:c r="A1328" s="17" t="n">
        <x:v>44395</x:v>
      </x:c>
      <x:c r="B1328" s="20" t="n">
        <x:v>0.0025</x:v>
      </x:c>
    </x:row>
    <x:row r="1329">
      <x:c r="A1329" s="17" t="n">
        <x:v>44396</x:v>
      </x:c>
      <x:c r="B1329" s="20" t="n">
        <x:v>0.0025</x:v>
      </x:c>
    </x:row>
    <x:row r="1330">
      <x:c r="A1330" s="17" t="n">
        <x:v>44397</x:v>
      </x:c>
      <x:c r="B1330" s="20" t="n">
        <x:v>0.0025</x:v>
      </x:c>
    </x:row>
    <x:row r="1331">
      <x:c r="A1331" s="17" t="n">
        <x:v>44398</x:v>
      </x:c>
      <x:c r="B1331" s="20" t="n">
        <x:v>0.0025</x:v>
      </x:c>
    </x:row>
    <x:row r="1332">
      <x:c r="A1332" s="17" t="n">
        <x:v>44399</x:v>
      </x:c>
      <x:c r="B1332" s="20" t="n">
        <x:v>0.0025</x:v>
      </x:c>
    </x:row>
    <x:row r="1333">
      <x:c r="A1333" s="17" t="n">
        <x:v>44400</x:v>
      </x:c>
      <x:c r="B1333" s="20" t="n">
        <x:v>0.0025</x:v>
      </x:c>
    </x:row>
    <x:row r="1334">
      <x:c r="A1334" s="17" t="n">
        <x:v>44401</x:v>
      </x:c>
      <x:c r="B1334" s="20" t="n">
        <x:v>0.0025</x:v>
      </x:c>
    </x:row>
    <x:row r="1335">
      <x:c r="A1335" s="17" t="n">
        <x:v>44402</x:v>
      </x:c>
      <x:c r="B1335" s="20" t="n">
        <x:v>0.0025</x:v>
      </x:c>
    </x:row>
    <x:row r="1336">
      <x:c r="A1336" s="17" t="n">
        <x:v>44403</x:v>
      </x:c>
      <x:c r="B1336" s="20" t="n">
        <x:v>0.0025</x:v>
      </x:c>
    </x:row>
    <x:row r="1337">
      <x:c r="A1337" s="17" t="n">
        <x:v>44404</x:v>
      </x:c>
      <x:c r="B1337" s="20" t="n">
        <x:v>0.0025</x:v>
      </x:c>
    </x:row>
    <x:row r="1338">
      <x:c r="A1338" s="17" t="n">
        <x:v>44405</x:v>
      </x:c>
      <x:c r="B1338" s="20" t="n">
        <x:v>0.0025</x:v>
      </x:c>
    </x:row>
    <x:row r="1339">
      <x:c r="A1339" s="17" t="n">
        <x:v>44406</x:v>
      </x:c>
      <x:c r="B1339" s="20" t="n">
        <x:v>0.0025</x:v>
      </x:c>
    </x:row>
    <x:row r="1340">
      <x:c r="A1340" s="17" t="n">
        <x:v>44407</x:v>
      </x:c>
      <x:c r="B1340" s="20" t="n">
        <x:v>0.0025</x:v>
      </x:c>
    </x:row>
    <x:row r="1341">
      <x:c r="A1341" s="17" t="n">
        <x:v>44408</x:v>
      </x:c>
      <x:c r="B1341" s="20" t="n">
        <x:v>0.0025</x:v>
      </x:c>
    </x:row>
    <x:row r="1342">
      <x:c r="A1342" s="17" t="n">
        <x:v>44409</x:v>
      </x:c>
      <x:c r="B1342" s="20" t="n">
        <x:v>0.0025</x:v>
      </x:c>
    </x:row>
    <x:row r="1343">
      <x:c r="A1343" s="17" t="n">
        <x:v>44410</x:v>
      </x:c>
      <x:c r="B1343" s="20" t="n">
        <x:v>0.0025</x:v>
      </x:c>
    </x:row>
    <x:row r="1344">
      <x:c r="A1344" s="17" t="n">
        <x:v>44411</x:v>
      </x:c>
      <x:c r="B1344" s="20" t="n">
        <x:v>0.0025</x:v>
      </x:c>
    </x:row>
    <x:row r="1345">
      <x:c r="A1345" s="17" t="n">
        <x:v>44412</x:v>
      </x:c>
      <x:c r="B1345" s="20" t="n">
        <x:v>0.0025</x:v>
      </x:c>
    </x:row>
    <x:row r="1346">
      <x:c r="A1346" s="17" t="n">
        <x:v>44413</x:v>
      </x:c>
      <x:c r="B1346" s="20" t="n">
        <x:v>0.0025</x:v>
      </x:c>
    </x:row>
    <x:row r="1347">
      <x:c r="A1347" s="17" t="n">
        <x:v>44414</x:v>
      </x:c>
      <x:c r="B1347" s="20" t="n">
        <x:v>0.0025</x:v>
      </x:c>
    </x:row>
    <x:row r="1348">
      <x:c r="A1348" s="17" t="n">
        <x:v>44415</x:v>
      </x:c>
      <x:c r="B1348" s="20" t="n">
        <x:v>0.0025</x:v>
      </x:c>
    </x:row>
    <x:row r="1349">
      <x:c r="A1349" s="17" t="n">
        <x:v>44416</x:v>
      </x:c>
      <x:c r="B1349" s="20" t="n">
        <x:v>0.0025</x:v>
      </x:c>
    </x:row>
    <x:row r="1350">
      <x:c r="A1350" s="17" t="n">
        <x:v>44417</x:v>
      </x:c>
      <x:c r="B1350" s="20" t="n">
        <x:v>0.0025</x:v>
      </x:c>
    </x:row>
    <x:row r="1351">
      <x:c r="A1351" s="17" t="n">
        <x:v>44418</x:v>
      </x:c>
      <x:c r="B1351" s="20" t="n">
        <x:v>0.0025</x:v>
      </x:c>
    </x:row>
    <x:row r="1352">
      <x:c r="A1352" s="17" t="n">
        <x:v>44419</x:v>
      </x:c>
      <x:c r="B1352" s="20" t="n">
        <x:v>0.0025</x:v>
      </x:c>
    </x:row>
    <x:row r="1353">
      <x:c r="A1353" s="17" t="n">
        <x:v>44420</x:v>
      </x:c>
      <x:c r="B1353" s="20" t="n">
        <x:v>0.0025</x:v>
      </x:c>
    </x:row>
    <x:row r="1354">
      <x:c r="A1354" s="17" t="n">
        <x:v>44421</x:v>
      </x:c>
      <x:c r="B1354" s="20" t="n">
        <x:v>0.0025</x:v>
      </x:c>
    </x:row>
    <x:row r="1355">
      <x:c r="A1355" s="17" t="n">
        <x:v>44422</x:v>
      </x:c>
      <x:c r="B1355" s="20" t="n">
        <x:v>0.0025</x:v>
      </x:c>
    </x:row>
    <x:row r="1356">
      <x:c r="A1356" s="17" t="n">
        <x:v>44423</x:v>
      </x:c>
      <x:c r="B1356" s="20" t="n">
        <x:v>0.0025</x:v>
      </x:c>
    </x:row>
    <x:row r="1357">
      <x:c r="A1357" s="17" t="n">
        <x:v>44424</x:v>
      </x:c>
      <x:c r="B1357" s="20" t="n">
        <x:v>0.0025</x:v>
      </x:c>
    </x:row>
    <x:row r="1358">
      <x:c r="A1358" s="17" t="n">
        <x:v>44425</x:v>
      </x:c>
      <x:c r="B1358" s="20" t="n">
        <x:v>0.0025</x:v>
      </x:c>
    </x:row>
    <x:row r="1359">
      <x:c r="A1359" s="17" t="n">
        <x:v>44426</x:v>
      </x:c>
      <x:c r="B1359" s="20" t="n">
        <x:v>0.0025</x:v>
      </x:c>
    </x:row>
    <x:row r="1360">
      <x:c r="A1360" s="17" t="n">
        <x:v>44427</x:v>
      </x:c>
      <x:c r="B1360" s="20" t="n">
        <x:v>0.0025</x:v>
      </x:c>
    </x:row>
    <x:row r="1361">
      <x:c r="A1361" s="17" t="n">
        <x:v>44428</x:v>
      </x:c>
      <x:c r="B1361" s="20" t="n">
        <x:v>0.0025</x:v>
      </x:c>
    </x:row>
    <x:row r="1362">
      <x:c r="A1362" s="17" t="n">
        <x:v>44429</x:v>
      </x:c>
      <x:c r="B1362" s="20" t="n">
        <x:v>0.0025</x:v>
      </x:c>
    </x:row>
    <x:row r="1363">
      <x:c r="A1363" s="17" t="n">
        <x:v>44430</x:v>
      </x:c>
      <x:c r="B1363" s="20" t="n">
        <x:v>0.0025</x:v>
      </x:c>
    </x:row>
    <x:row r="1364">
      <x:c r="A1364" s="17" t="n">
        <x:v>44431</x:v>
      </x:c>
      <x:c r="B1364" s="20" t="n">
        <x:v>0.0025</x:v>
      </x:c>
    </x:row>
    <x:row r="1365">
      <x:c r="A1365" s="17" t="n">
        <x:v>44432</x:v>
      </x:c>
      <x:c r="B1365" s="20" t="n">
        <x:v>0.0025</x:v>
      </x:c>
    </x:row>
    <x:row r="1366">
      <x:c r="A1366" s="17" t="n">
        <x:v>44433</x:v>
      </x:c>
      <x:c r="B1366" s="20" t="n">
        <x:v>0.0025</x:v>
      </x:c>
    </x:row>
    <x:row r="1367">
      <x:c r="A1367" s="17" t="n">
        <x:v>44434</x:v>
      </x:c>
      <x:c r="B1367" s="20" t="n">
        <x:v>0.0025</x:v>
      </x:c>
    </x:row>
    <x:row r="1368">
      <x:c r="A1368" s="17" t="n">
        <x:v>44435</x:v>
      </x:c>
      <x:c r="B1368" s="20" t="n">
        <x:v>0.0025</x:v>
      </x:c>
    </x:row>
    <x:row r="1369">
      <x:c r="A1369" s="17" t="n">
        <x:v>44436</x:v>
      </x:c>
      <x:c r="B1369" s="20" t="n">
        <x:v>0.0025</x:v>
      </x:c>
    </x:row>
    <x:row r="1370">
      <x:c r="A1370" s="17" t="n">
        <x:v>44437</x:v>
      </x:c>
      <x:c r="B1370" s="20" t="n">
        <x:v>0.0025</x:v>
      </x:c>
    </x:row>
    <x:row r="1371">
      <x:c r="A1371" s="17" t="n">
        <x:v>44438</x:v>
      </x:c>
      <x:c r="B1371" s="20" t="n">
        <x:v>0.0025</x:v>
      </x:c>
    </x:row>
    <x:row r="1372">
      <x:c r="A1372" s="17" t="n">
        <x:v>44439</x:v>
      </x:c>
      <x:c r="B1372" s="20" t="n">
        <x:v>0.0025</x:v>
      </x:c>
    </x:row>
    <x:row r="1373">
      <x:c r="A1373" s="17" t="n">
        <x:v>44440</x:v>
      </x:c>
      <x:c r="B1373" s="20" t="n">
        <x:v>0.0025</x:v>
      </x:c>
    </x:row>
    <x:row r="1374">
      <x:c r="A1374" s="17" t="n">
        <x:v>44441</x:v>
      </x:c>
      <x:c r="B1374" s="20" t="n">
        <x:v>0.0025</x:v>
      </x:c>
    </x:row>
    <x:row r="1375">
      <x:c r="A1375" s="17" t="n">
        <x:v>44442</x:v>
      </x:c>
      <x:c r="B1375" s="20" t="n">
        <x:v>0.0025</x:v>
      </x:c>
    </x:row>
    <x:row r="1376">
      <x:c r="A1376" s="17" t="n">
        <x:v>44443</x:v>
      </x:c>
      <x:c r="B1376" s="20" t="n">
        <x:v>0.0025</x:v>
      </x:c>
    </x:row>
    <x:row r="1377">
      <x:c r="A1377" s="17" t="n">
        <x:v>44444</x:v>
      </x:c>
      <x:c r="B1377" s="20" t="n">
        <x:v>0.0025</x:v>
      </x:c>
    </x:row>
    <x:row r="1378">
      <x:c r="A1378" s="17" t="n">
        <x:v>44445</x:v>
      </x:c>
      <x:c r="B1378" s="20" t="n">
        <x:v>0.0025</x:v>
      </x:c>
    </x:row>
    <x:row r="1379">
      <x:c r="A1379" s="17" t="n">
        <x:v>44446</x:v>
      </x:c>
      <x:c r="B1379" s="20" t="n">
        <x:v>0.0025</x:v>
      </x:c>
    </x:row>
    <x:row r="1380">
      <x:c r="A1380" s="17" t="n">
        <x:v>44447</x:v>
      </x:c>
      <x:c r="B1380" s="20" t="n">
        <x:v>0.0025</x:v>
      </x:c>
    </x:row>
    <x:row r="1381">
      <x:c r="A1381" s="17" t="n">
        <x:v>44448</x:v>
      </x:c>
      <x:c r="B1381" s="20" t="n">
        <x:v>0.0025</x:v>
      </x:c>
    </x:row>
    <x:row r="1382">
      <x:c r="A1382" s="17" t="n">
        <x:v>44449</x:v>
      </x:c>
      <x:c r="B1382" s="20" t="n">
        <x:v>0.0025</x:v>
      </x:c>
    </x:row>
    <x:row r="1383">
      <x:c r="A1383" s="17" t="n">
        <x:v>44450</x:v>
      </x:c>
      <x:c r="B1383" s="20" t="n">
        <x:v>0.0025</x:v>
      </x:c>
    </x:row>
    <x:row r="1384">
      <x:c r="A1384" s="17" t="n">
        <x:v>44451</x:v>
      </x:c>
      <x:c r="B1384" s="20" t="n">
        <x:v>0.0025</x:v>
      </x:c>
    </x:row>
    <x:row r="1385">
      <x:c r="A1385" s="17" t="n">
        <x:v>44452</x:v>
      </x:c>
      <x:c r="B1385" s="20" t="n">
        <x:v>0.0025</x:v>
      </x:c>
    </x:row>
    <x:row r="1386">
      <x:c r="A1386" s="17" t="n">
        <x:v>44453</x:v>
      </x:c>
      <x:c r="B1386" s="20" t="n">
        <x:v>0.0025</x:v>
      </x:c>
    </x:row>
    <x:row r="1387">
      <x:c r="A1387" s="17" t="n">
        <x:v>44454</x:v>
      </x:c>
      <x:c r="B1387" s="20" t="n">
        <x:v>0.0025</x:v>
      </x:c>
    </x:row>
    <x:row r="1388">
      <x:c r="A1388" s="17" t="n">
        <x:v>44455</x:v>
      </x:c>
      <x:c r="B1388" s="20" t="n">
        <x:v>0.0025</x:v>
      </x:c>
    </x:row>
    <x:row r="1389">
      <x:c r="A1389" s="17" t="n">
        <x:v>44456</x:v>
      </x:c>
      <x:c r="B1389" s="20" t="n">
        <x:v>0.0025</x:v>
      </x:c>
    </x:row>
    <x:row r="1390">
      <x:c r="A1390" s="17" t="n">
        <x:v>44457</x:v>
      </x:c>
      <x:c r="B1390" s="20" t="n">
        <x:v>0.0025</x:v>
      </x:c>
    </x:row>
    <x:row r="1391">
      <x:c r="A1391" s="17" t="n">
        <x:v>44458</x:v>
      </x:c>
      <x:c r="B1391" s="20" t="n">
        <x:v>0.0025</x:v>
      </x:c>
    </x:row>
    <x:row r="1392">
      <x:c r="A1392" s="17" t="n">
        <x:v>44459</x:v>
      </x:c>
      <x:c r="B1392" s="20" t="n">
        <x:v>0.0025</x:v>
      </x:c>
    </x:row>
    <x:row r="1393">
      <x:c r="A1393" s="17" t="n">
        <x:v>44460</x:v>
      </x:c>
      <x:c r="B1393" s="20" t="n">
        <x:v>0.0025</x:v>
      </x:c>
    </x:row>
    <x:row r="1394">
      <x:c r="A1394" s="17" t="n">
        <x:v>44461</x:v>
      </x:c>
      <x:c r="B1394" s="20" t="n">
        <x:v>0.0025</x:v>
      </x:c>
    </x:row>
    <x:row r="1395">
      <x:c r="A1395" s="17" t="n">
        <x:v>44462</x:v>
      </x:c>
      <x:c r="B1395" s="20" t="n">
        <x:v>0.0025</x:v>
      </x:c>
    </x:row>
    <x:row r="1396">
      <x:c r="A1396" s="17" t="n">
        <x:v>44463</x:v>
      </x:c>
      <x:c r="B1396" s="20" t="n">
        <x:v>0.0025</x:v>
      </x:c>
    </x:row>
    <x:row r="1397">
      <x:c r="A1397" s="17" t="n">
        <x:v>44464</x:v>
      </x:c>
      <x:c r="B1397" s="20" t="n">
        <x:v>0.0025</x:v>
      </x:c>
    </x:row>
    <x:row r="1398">
      <x:c r="A1398" s="17" t="n">
        <x:v>44465</x:v>
      </x:c>
      <x:c r="B1398" s="20" t="n">
        <x:v>0.0025</x:v>
      </x:c>
    </x:row>
    <x:row r="1399">
      <x:c r="A1399" s="17" t="n">
        <x:v>44466</x:v>
      </x:c>
      <x:c r="B1399" s="20" t="n">
        <x:v>0.0025</x:v>
      </x:c>
    </x:row>
    <x:row r="1400">
      <x:c r="A1400" s="17" t="n">
        <x:v>44467</x:v>
      </x:c>
      <x:c r="B1400" s="20" t="n">
        <x:v>0.0025</x:v>
      </x:c>
    </x:row>
    <x:row r="1401">
      <x:c r="A1401" s="17" t="n">
        <x:v>44468</x:v>
      </x:c>
      <x:c r="B1401" s="20" t="n">
        <x:v>0.0025</x:v>
      </x:c>
    </x:row>
    <x:row r="1402">
      <x:c r="A1402" s="17" t="n">
        <x:v>44469</x:v>
      </x:c>
      <x:c r="B1402" s="20" t="n">
        <x:v>0.0025</x:v>
      </x:c>
    </x:row>
    <x:row r="1403">
      <x:c r="A1403" s="17" t="n">
        <x:v>44470</x:v>
      </x:c>
      <x:c r="B1403" s="20" t="n">
        <x:v>0.0025</x:v>
      </x:c>
    </x:row>
    <x:row r="1404">
      <x:c r="A1404" s="17" t="n">
        <x:v>44471</x:v>
      </x:c>
      <x:c r="B1404" s="20" t="n">
        <x:v>0.0025</x:v>
      </x:c>
    </x:row>
    <x:row r="1405">
      <x:c r="A1405" s="17" t="n">
        <x:v>44472</x:v>
      </x:c>
      <x:c r="B1405" s="20" t="n">
        <x:v>0.0025</x:v>
      </x:c>
    </x:row>
    <x:row r="1406">
      <x:c r="A1406" s="17" t="n">
        <x:v>44473</x:v>
      </x:c>
      <x:c r="B1406" s="20" t="n">
        <x:v>0.0025</x:v>
      </x:c>
    </x:row>
    <x:row r="1407">
      <x:c r="A1407" s="17" t="n">
        <x:v>44474</x:v>
      </x:c>
      <x:c r="B1407" s="20" t="n">
        <x:v>0.0025</x:v>
      </x:c>
    </x:row>
    <x:row r="1408">
      <x:c r="A1408" s="17" t="n">
        <x:v>44475</x:v>
      </x:c>
      <x:c r="B1408" s="20" t="n">
        <x:v>0.0025</x:v>
      </x:c>
    </x:row>
    <x:row r="1409">
      <x:c r="A1409" s="17" t="n">
        <x:v>44476</x:v>
      </x:c>
      <x:c r="B1409" s="20" t="n">
        <x:v>0.0025</x:v>
      </x:c>
    </x:row>
    <x:row r="1410">
      <x:c r="A1410" s="17" t="n">
        <x:v>44477</x:v>
      </x:c>
      <x:c r="B1410" s="20" t="n">
        <x:v>0.0025</x:v>
      </x:c>
    </x:row>
    <x:row r="1411">
      <x:c r="A1411" s="17" t="n">
        <x:v>44478</x:v>
      </x:c>
      <x:c r="B1411" s="20" t="n">
        <x:v>0.0025</x:v>
      </x:c>
    </x:row>
    <x:row r="1412">
      <x:c r="A1412" s="17" t="n">
        <x:v>44479</x:v>
      </x:c>
      <x:c r="B1412" s="20" t="n">
        <x:v>0.0025</x:v>
      </x:c>
    </x:row>
    <x:row r="1413">
      <x:c r="A1413" s="17" t="n">
        <x:v>44480</x:v>
      </x:c>
      <x:c r="B1413" s="20" t="n">
        <x:v>0.0025</x:v>
      </x:c>
    </x:row>
    <x:row r="1414">
      <x:c r="A1414" s="17" t="n">
        <x:v>44481</x:v>
      </x:c>
      <x:c r="B1414" s="20" t="n">
        <x:v>0.0025</x:v>
      </x:c>
    </x:row>
    <x:row r="1415">
      <x:c r="A1415" s="17" t="n">
        <x:v>44482</x:v>
      </x:c>
      <x:c r="B1415" s="20" t="n">
        <x:v>0.0025</x:v>
      </x:c>
    </x:row>
    <x:row r="1416">
      <x:c r="A1416" s="17" t="n">
        <x:v>44483</x:v>
      </x:c>
      <x:c r="B1416" s="20" t="n">
        <x:v>0.0025</x:v>
      </x:c>
    </x:row>
    <x:row r="1417">
      <x:c r="A1417" s="17" t="n">
        <x:v>44484</x:v>
      </x:c>
      <x:c r="B1417" s="20" t="n">
        <x:v>0.0025</x:v>
      </x:c>
    </x:row>
    <x:row r="1418">
      <x:c r="A1418" s="17" t="n">
        <x:v>44485</x:v>
      </x:c>
      <x:c r="B1418" s="20" t="n">
        <x:v>0.0025</x:v>
      </x:c>
    </x:row>
    <x:row r="1419">
      <x:c r="A1419" s="17" t="n">
        <x:v>44486</x:v>
      </x:c>
      <x:c r="B1419" s="20" t="n">
        <x:v>0.0025</x:v>
      </x:c>
    </x:row>
    <x:row r="1420">
      <x:c r="A1420" s="17" t="n">
        <x:v>44487</x:v>
      </x:c>
      <x:c r="B1420" s="20" t="n">
        <x:v>0.0025</x:v>
      </x:c>
    </x:row>
    <x:row r="1421">
      <x:c r="A1421" s="17" t="n">
        <x:v>44488</x:v>
      </x:c>
      <x:c r="B1421" s="20" t="n">
        <x:v>0.0025</x:v>
      </x:c>
    </x:row>
    <x:row r="1422">
      <x:c r="A1422" s="17" t="n">
        <x:v>44489</x:v>
      </x:c>
      <x:c r="B1422" s="20" t="n">
        <x:v>0.0025</x:v>
      </x:c>
    </x:row>
    <x:row r="1423">
      <x:c r="A1423" s="17" t="n">
        <x:v>44490</x:v>
      </x:c>
      <x:c r="B1423" s="20" t="n">
        <x:v>0.0025</x:v>
      </x:c>
    </x:row>
    <x:row r="1424">
      <x:c r="A1424" s="17" t="n">
        <x:v>44491</x:v>
      </x:c>
      <x:c r="B1424" s="20" t="n">
        <x:v>0.0025</x:v>
      </x:c>
    </x:row>
    <x:row r="1425">
      <x:c r="A1425" s="17" t="n">
        <x:v>44492</x:v>
      </x:c>
      <x:c r="B1425" s="20" t="n">
        <x:v>0.0025</x:v>
      </x:c>
    </x:row>
    <x:row r="1426">
      <x:c r="A1426" s="17" t="n">
        <x:v>44493</x:v>
      </x:c>
      <x:c r="B1426" s="20" t="n">
        <x:v>0.0025</x:v>
      </x:c>
    </x:row>
    <x:row r="1427">
      <x:c r="A1427" s="17" t="n">
        <x:v>44494</x:v>
      </x:c>
      <x:c r="B1427" s="20" t="n">
        <x:v>0.0025</x:v>
      </x:c>
    </x:row>
    <x:row r="1428">
      <x:c r="A1428" s="17" t="n">
        <x:v>44495</x:v>
      </x:c>
      <x:c r="B1428" s="20" t="n">
        <x:v>0.0025</x:v>
      </x:c>
    </x:row>
    <x:row r="1429">
      <x:c r="A1429" s="17" t="n">
        <x:v>44496</x:v>
      </x:c>
      <x:c r="B1429" s="20" t="n">
        <x:v>0.0025</x:v>
      </x:c>
    </x:row>
    <x:row r="1430">
      <x:c r="A1430" s="17" t="n">
        <x:v>44497</x:v>
      </x:c>
      <x:c r="B1430" s="20" t="n">
        <x:v>0.0025</x:v>
      </x:c>
    </x:row>
    <x:row r="1431">
      <x:c r="A1431" s="17" t="n">
        <x:v>44498</x:v>
      </x:c>
      <x:c r="B1431" s="20" t="n">
        <x:v>0.0025</x:v>
      </x:c>
    </x:row>
    <x:row r="1432">
      <x:c r="A1432" s="17" t="n">
        <x:v>44499</x:v>
      </x:c>
      <x:c r="B1432" s="20" t="n">
        <x:v>0.0025</x:v>
      </x:c>
    </x:row>
    <x:row r="1433">
      <x:c r="A1433" s="17" t="n">
        <x:v>44500</x:v>
      </x:c>
      <x:c r="B1433" s="20" t="n">
        <x:v>0.0025</x:v>
      </x:c>
    </x:row>
    <x:row r="1434">
      <x:c r="A1434" s="17" t="n">
        <x:v>44501</x:v>
      </x:c>
      <x:c r="B1434" s="20" t="n">
        <x:v>0.0025</x:v>
      </x:c>
    </x:row>
    <x:row r="1435">
      <x:c r="A1435" s="17" t="n">
        <x:v>44502</x:v>
      </x:c>
      <x:c r="B1435" s="20" t="n">
        <x:v>0.0025</x:v>
      </x:c>
    </x:row>
    <x:row r="1436">
      <x:c r="A1436" s="17" t="n">
        <x:v>44503</x:v>
      </x:c>
      <x:c r="B1436" s="20" t="n">
        <x:v>0.0025</x:v>
      </x:c>
    </x:row>
    <x:row r="1437">
      <x:c r="A1437" s="17" t="n">
        <x:v>44504</x:v>
      </x:c>
      <x:c r="B1437" s="20" t="n">
        <x:v>0.0025</x:v>
      </x:c>
    </x:row>
    <x:row r="1438">
      <x:c r="A1438" s="17" t="n">
        <x:v>44505</x:v>
      </x:c>
      <x:c r="B1438" s="20" t="n">
        <x:v>0.0025</x:v>
      </x:c>
    </x:row>
    <x:row r="1439">
      <x:c r="A1439" s="17" t="n">
        <x:v>44506</x:v>
      </x:c>
      <x:c r="B1439" s="20" t="n">
        <x:v>0.0025</x:v>
      </x:c>
    </x:row>
    <x:row r="1440">
      <x:c r="A1440" s="17" t="n">
        <x:v>44507</x:v>
      </x:c>
      <x:c r="B1440" s="20" t="n">
        <x:v>0.0025</x:v>
      </x:c>
    </x:row>
    <x:row r="1441">
      <x:c r="A1441" s="17" t="n">
        <x:v>44508</x:v>
      </x:c>
      <x:c r="B1441" s="20" t="n">
        <x:v>0.0025</x:v>
      </x:c>
    </x:row>
    <x:row r="1442">
      <x:c r="A1442" s="17" t="n">
        <x:v>44509</x:v>
      </x:c>
      <x:c r="B1442" s="20" t="n">
        <x:v>0.0025</x:v>
      </x:c>
    </x:row>
    <x:row r="1443">
      <x:c r="A1443" s="17" t="n">
        <x:v>44510</x:v>
      </x:c>
      <x:c r="B1443" s="20" t="n">
        <x:v>0.0025</x:v>
      </x:c>
    </x:row>
    <x:row r="1444">
      <x:c r="A1444" s="17" t="n">
        <x:v>44511</x:v>
      </x:c>
      <x:c r="B1444" s="20" t="n">
        <x:v>0.0025</x:v>
      </x:c>
    </x:row>
    <x:row r="1445">
      <x:c r="A1445" s="17" t="n">
        <x:v>44512</x:v>
      </x:c>
      <x:c r="B1445" s="20" t="n">
        <x:v>0.0025</x:v>
      </x:c>
    </x:row>
    <x:row r="1446">
      <x:c r="A1446" s="17" t="n">
        <x:v>44513</x:v>
      </x:c>
      <x:c r="B1446" s="20" t="n">
        <x:v>0.0025</x:v>
      </x:c>
    </x:row>
    <x:row r="1447">
      <x:c r="A1447" s="17" t="n">
        <x:v>44514</x:v>
      </x:c>
      <x:c r="B1447" s="20" t="n">
        <x:v>0.0025</x:v>
      </x:c>
    </x:row>
    <x:row r="1448">
      <x:c r="A1448" s="17" t="n">
        <x:v>44515</x:v>
      </x:c>
      <x:c r="B1448" s="20" t="n">
        <x:v>0.0025</x:v>
      </x:c>
    </x:row>
    <x:row r="1449">
      <x:c r="A1449" s="17" t="n">
        <x:v>44516</x:v>
      </x:c>
      <x:c r="B1449" s="20" t="n">
        <x:v>0.0025</x:v>
      </x:c>
    </x:row>
    <x:row r="1450">
      <x:c r="A1450" s="17" t="n">
        <x:v>44517</x:v>
      </x:c>
      <x:c r="B1450" s="20" t="n">
        <x:v>0.0025</x:v>
      </x:c>
    </x:row>
    <x:row r="1451">
      <x:c r="A1451" s="17" t="n">
        <x:v>44518</x:v>
      </x:c>
      <x:c r="B1451" s="20" t="n">
        <x:v>0.0025</x:v>
      </x:c>
    </x:row>
    <x:row r="1452">
      <x:c r="A1452" s="17" t="n">
        <x:v>44519</x:v>
      </x:c>
      <x:c r="B1452" s="20" t="n">
        <x:v>0.0025</x:v>
      </x:c>
    </x:row>
    <x:row r="1453">
      <x:c r="A1453" s="17" t="n">
        <x:v>44520</x:v>
      </x:c>
      <x:c r="B1453" s="20" t="n">
        <x:v>0.0025</x:v>
      </x:c>
    </x:row>
    <x:row r="1454">
      <x:c r="A1454" s="17" t="n">
        <x:v>44521</x:v>
      </x:c>
      <x:c r="B1454" s="20" t="n">
        <x:v>0.0025</x:v>
      </x:c>
    </x:row>
    <x:row r="1455">
      <x:c r="A1455" s="17" t="n">
        <x:v>44522</x:v>
      </x:c>
      <x:c r="B1455" s="20" t="n">
        <x:v>0.0025</x:v>
      </x:c>
    </x:row>
    <x:row r="1456">
      <x:c r="A1456" s="17" t="n">
        <x:v>44523</x:v>
      </x:c>
      <x:c r="B1456" s="20" t="n">
        <x:v>0.0025</x:v>
      </x:c>
    </x:row>
    <x:row r="1457">
      <x:c r="A1457" s="17" t="n">
        <x:v>44524</x:v>
      </x:c>
      <x:c r="B1457" s="20" t="n">
        <x:v>0.0025</x:v>
      </x:c>
    </x:row>
    <x:row r="1458">
      <x:c r="A1458" s="17" t="n">
        <x:v>44525</x:v>
      </x:c>
      <x:c r="B1458" s="20" t="n">
        <x:v>0.0025</x:v>
      </x:c>
    </x:row>
    <x:row r="1459">
      <x:c r="A1459" s="17" t="n">
        <x:v>44526</x:v>
      </x:c>
      <x:c r="B1459" s="20" t="n">
        <x:v>0.0025</x:v>
      </x:c>
    </x:row>
    <x:row r="1460">
      <x:c r="A1460" s="17" t="n">
        <x:v>44527</x:v>
      </x:c>
      <x:c r="B1460" s="20" t="n">
        <x:v>0.0025</x:v>
      </x:c>
    </x:row>
    <x:row r="1461">
      <x:c r="A1461" s="17" t="n">
        <x:v>44528</x:v>
      </x:c>
      <x:c r="B1461" s="20" t="n">
        <x:v>0.0025</x:v>
      </x:c>
    </x:row>
    <x:row r="1462">
      <x:c r="A1462" s="17" t="n">
        <x:v>44529</x:v>
      </x:c>
      <x:c r="B1462" s="20" t="n">
        <x:v>0.0025</x:v>
      </x:c>
    </x:row>
    <x:row r="1463">
      <x:c r="A1463" s="17" t="n">
        <x:v>44530</x:v>
      </x:c>
      <x:c r="B1463" s="20" t="n">
        <x:v>0.0025</x:v>
      </x:c>
    </x:row>
    <x:row r="1464">
      <x:c r="A1464" s="17" t="n">
        <x:v>44531</x:v>
      </x:c>
      <x:c r="B1464" s="20" t="n">
        <x:v>0.0025</x:v>
      </x:c>
    </x:row>
    <x:row r="1465">
      <x:c r="A1465" s="17" t="n">
        <x:v>44532</x:v>
      </x:c>
      <x:c r="B1465" s="20" t="n">
        <x:v>0.0025</x:v>
      </x:c>
    </x:row>
    <x:row r="1466">
      <x:c r="A1466" s="17" t="n">
        <x:v>44533</x:v>
      </x:c>
      <x:c r="B1466" s="20" t="n">
        <x:v>0.0025</x:v>
      </x:c>
    </x:row>
    <x:row r="1467">
      <x:c r="A1467" s="17" t="n">
        <x:v>44534</x:v>
      </x:c>
      <x:c r="B1467" s="20" t="n">
        <x:v>0.0025</x:v>
      </x:c>
    </x:row>
    <x:row r="1468">
      <x:c r="A1468" s="17" t="n">
        <x:v>44535</x:v>
      </x:c>
      <x:c r="B1468" s="20" t="n">
        <x:v>0.0025</x:v>
      </x:c>
    </x:row>
    <x:row r="1469">
      <x:c r="A1469" s="17" t="n">
        <x:v>44536</x:v>
      </x:c>
      <x:c r="B1469" s="20" t="n">
        <x:v>0.0025</x:v>
      </x:c>
    </x:row>
    <x:row r="1470">
      <x:c r="A1470" s="17" t="n">
        <x:v>44537</x:v>
      </x:c>
      <x:c r="B1470" s="20" t="n">
        <x:v>0.0025</x:v>
      </x:c>
    </x:row>
    <x:row r="1471">
      <x:c r="A1471" s="17" t="n">
        <x:v>44538</x:v>
      </x:c>
      <x:c r="B1471" s="20" t="n">
        <x:v>0.0025</x:v>
      </x:c>
    </x:row>
    <x:row r="1472">
      <x:c r="A1472" s="17" t="n">
        <x:v>44539</x:v>
      </x:c>
      <x:c r="B1472" s="20" t="n">
        <x:v>0.0025</x:v>
      </x:c>
    </x:row>
    <x:row r="1473">
      <x:c r="A1473" s="17" t="n">
        <x:v>44540</x:v>
      </x:c>
      <x:c r="B1473" s="20" t="n">
        <x:v>0.0025</x:v>
      </x:c>
    </x:row>
    <x:row r="1474">
      <x:c r="A1474" s="17" t="n">
        <x:v>44541</x:v>
      </x:c>
      <x:c r="B1474" s="20" t="n">
        <x:v>0.0025</x:v>
      </x:c>
    </x:row>
    <x:row r="1475">
      <x:c r="A1475" s="17" t="n">
        <x:v>44542</x:v>
      </x:c>
      <x:c r="B1475" s="20" t="n">
        <x:v>0.0025</x:v>
      </x:c>
    </x:row>
    <x:row r="1476">
      <x:c r="A1476" s="17" t="n">
        <x:v>44543</x:v>
      </x:c>
      <x:c r="B1476" s="20" t="n">
        <x:v>0.0025</x:v>
      </x:c>
    </x:row>
    <x:row r="1477">
      <x:c r="A1477" s="17" t="n">
        <x:v>44544</x:v>
      </x:c>
      <x:c r="B1477" s="20" t="n">
        <x:v>0.0025</x:v>
      </x:c>
    </x:row>
    <x:row r="1478">
      <x:c r="A1478" s="17" t="n">
        <x:v>44545</x:v>
      </x:c>
      <x:c r="B1478" s="20" t="n">
        <x:v>0.0025</x:v>
      </x:c>
    </x:row>
    <x:row r="1479">
      <x:c r="A1479" s="17" t="n">
        <x:v>44546</x:v>
      </x:c>
      <x:c r="B1479" s="20" t="n">
        <x:v>0.0025</x:v>
      </x:c>
    </x:row>
    <x:row r="1480">
      <x:c r="A1480" s="17" t="n">
        <x:v>44547</x:v>
      </x:c>
      <x:c r="B1480" s="20" t="n">
        <x:v>0.0025</x:v>
      </x:c>
    </x:row>
    <x:row r="1481">
      <x:c r="A1481" s="17" t="n">
        <x:v>44548</x:v>
      </x:c>
      <x:c r="B1481" s="20" t="n">
        <x:v>0.0025</x:v>
      </x:c>
    </x:row>
    <x:row r="1482">
      <x:c r="A1482" s="17" t="n">
        <x:v>44549</x:v>
      </x:c>
      <x:c r="B1482" s="20" t="n">
        <x:v>0.0025</x:v>
      </x:c>
    </x:row>
    <x:row r="1483">
      <x:c r="A1483" s="17" t="n">
        <x:v>44550</x:v>
      </x:c>
      <x:c r="B1483" s="20" t="n">
        <x:v>0.0025</x:v>
      </x:c>
    </x:row>
    <x:row r="1484">
      <x:c r="A1484" s="17" t="n">
        <x:v>44551</x:v>
      </x:c>
      <x:c r="B1484" s="20" t="n">
        <x:v>0.0025</x:v>
      </x:c>
    </x:row>
    <x:row r="1485">
      <x:c r="A1485" s="17" t="n">
        <x:v>44552</x:v>
      </x:c>
      <x:c r="B1485" s="20" t="n">
        <x:v>0.0025</x:v>
      </x:c>
    </x:row>
    <x:row r="1486">
      <x:c r="A1486" s="17" t="n">
        <x:v>44553</x:v>
      </x:c>
      <x:c r="B1486" s="20" t="n">
        <x:v>0.0025</x:v>
      </x:c>
    </x:row>
    <x:row r="1487">
      <x:c r="A1487" s="17" t="n">
        <x:v>44554</x:v>
      </x:c>
      <x:c r="B1487" s="20" t="n">
        <x:v>0.0025</x:v>
      </x:c>
    </x:row>
    <x:row r="1488">
      <x:c r="A1488" s="17" t="n">
        <x:v>44555</x:v>
      </x:c>
      <x:c r="B1488" s="20" t="n">
        <x:v>0.0025</x:v>
      </x:c>
    </x:row>
    <x:row r="1489">
      <x:c r="A1489" s="17" t="n">
        <x:v>44556</x:v>
      </x:c>
      <x:c r="B1489" s="20" t="n">
        <x:v>0.0025</x:v>
      </x:c>
    </x:row>
    <x:row r="1490">
      <x:c r="A1490" s="17" t="n">
        <x:v>44557</x:v>
      </x:c>
      <x:c r="B1490" s="20" t="n">
        <x:v>0.0025</x:v>
      </x:c>
    </x:row>
    <x:row r="1491">
      <x:c r="A1491" s="17" t="n">
        <x:v>44558</x:v>
      </x:c>
      <x:c r="B1491" s="20" t="n">
        <x:v>0.0025</x:v>
      </x:c>
    </x:row>
    <x:row r="1492">
      <x:c r="A1492" s="17" t="n">
        <x:v>44559</x:v>
      </x:c>
      <x:c r="B1492" s="20" t="n">
        <x:v>0.0025</x:v>
      </x:c>
    </x:row>
    <x:row r="1493">
      <x:c r="A1493" s="17" t="n">
        <x:v>44560</x:v>
      </x:c>
      <x:c r="B1493" s="20" t="n">
        <x:v>0.0025</x:v>
      </x:c>
    </x:row>
    <x:row r="1494">
      <x:c r="A1494" s="17" t="n">
        <x:v>44561</x:v>
      </x:c>
      <x:c r="B1494" s="20" t="n">
        <x:v>0.0025</x:v>
      </x:c>
    </x:row>
    <x:row r="1495">
      <x:c r="A1495" s="17" t="n">
        <x:v>44562</x:v>
      </x:c>
      <x:c r="B1495" s="20" t="n">
        <x:v>0.0025</x:v>
      </x:c>
    </x:row>
    <x:row r="1496">
      <x:c r="A1496" s="17" t="n">
        <x:v>44563</x:v>
      </x:c>
      <x:c r="B1496" s="20" t="n">
        <x:v>0.0025</x:v>
      </x:c>
    </x:row>
    <x:row r="1497">
      <x:c r="A1497" s="17" t="n">
        <x:v>44564</x:v>
      </x:c>
      <x:c r="B1497" s="20" t="n">
        <x:v>0.0025</x:v>
      </x:c>
    </x:row>
    <x:row r="1498">
      <x:c r="A1498" s="17" t="n">
        <x:v>44565</x:v>
      </x:c>
      <x:c r="B1498" s="20" t="n">
        <x:v>0.0025</x:v>
      </x:c>
    </x:row>
    <x:row r="1499">
      <x:c r="A1499" s="17" t="n">
        <x:v>44566</x:v>
      </x:c>
      <x:c r="B1499" s="20" t="n">
        <x:v>0.0025</x:v>
      </x:c>
    </x:row>
    <x:row r="1500">
      <x:c r="A1500" s="17" t="n">
        <x:v>44567</x:v>
      </x:c>
      <x:c r="B1500" s="20" t="n">
        <x:v>0.0025</x:v>
      </x:c>
    </x:row>
    <x:row r="1501">
      <x:c r="A1501" s="17" t="n">
        <x:v>44568</x:v>
      </x:c>
      <x:c r="B1501" s="20" t="n">
        <x:v>0.0025</x:v>
      </x:c>
    </x:row>
    <x:row r="1502">
      <x:c r="A1502" s="17" t="n">
        <x:v>44569</x:v>
      </x:c>
      <x:c r="B1502" s="20" t="n">
        <x:v>0.0025</x:v>
      </x:c>
    </x:row>
    <x:row r="1503">
      <x:c r="A1503" s="17" t="n">
        <x:v>44570</x:v>
      </x:c>
      <x:c r="B1503" s="20" t="n">
        <x:v>0.0025</x:v>
      </x:c>
    </x:row>
    <x:row r="1504">
      <x:c r="A1504" s="17" t="n">
        <x:v>44571</x:v>
      </x:c>
      <x:c r="B1504" s="20" t="n">
        <x:v>0.0025</x:v>
      </x:c>
    </x:row>
    <x:row r="1505">
      <x:c r="A1505" s="17" t="n">
        <x:v>44572</x:v>
      </x:c>
      <x:c r="B1505" s="20" t="n">
        <x:v>0.0025</x:v>
      </x:c>
    </x:row>
    <x:row r="1506">
      <x:c r="A1506" s="17" t="n">
        <x:v>44573</x:v>
      </x:c>
      <x:c r="B1506" s="20" t="n">
        <x:v>0.0025</x:v>
      </x:c>
    </x:row>
    <x:row r="1507">
      <x:c r="A1507" s="17" t="n">
        <x:v>44574</x:v>
      </x:c>
      <x:c r="B1507" s="20" t="n">
        <x:v>0.0025</x:v>
      </x:c>
    </x:row>
    <x:row r="1508">
      <x:c r="A1508" s="17" t="n">
        <x:v>44575</x:v>
      </x:c>
      <x:c r="B1508" s="20" t="n">
        <x:v>0.0025</x:v>
      </x:c>
    </x:row>
    <x:row r="1509">
      <x:c r="A1509" s="17" t="n">
        <x:v>44576</x:v>
      </x:c>
      <x:c r="B1509" s="20" t="n">
        <x:v>0.0025</x:v>
      </x:c>
    </x:row>
    <x:row r="1510">
      <x:c r="A1510" s="17" t="n">
        <x:v>44577</x:v>
      </x:c>
      <x:c r="B1510" s="20" t="n">
        <x:v>0.0025</x:v>
      </x:c>
    </x:row>
    <x:row r="1511">
      <x:c r="A1511" s="17" t="n">
        <x:v>44578</x:v>
      </x:c>
      <x:c r="B1511" s="20" t="n">
        <x:v>0.0025</x:v>
      </x:c>
    </x:row>
    <x:row r="1512">
      <x:c r="A1512" s="17" t="n">
        <x:v>44579</x:v>
      </x:c>
      <x:c r="B1512" s="20" t="n">
        <x:v>0.0025</x:v>
      </x:c>
    </x:row>
    <x:row r="1513">
      <x:c r="A1513" s="17" t="n">
        <x:v>44580</x:v>
      </x:c>
      <x:c r="B1513" s="20" t="n">
        <x:v>0.0025</x:v>
      </x:c>
    </x:row>
    <x:row r="1514">
      <x:c r="A1514" s="17" t="n">
        <x:v>44581</x:v>
      </x:c>
      <x:c r="B1514" s="20" t="n">
        <x:v>0.0025</x:v>
      </x:c>
    </x:row>
    <x:row r="1515">
      <x:c r="A1515" s="17" t="n">
        <x:v>44582</x:v>
      </x:c>
      <x:c r="B1515" s="20" t="n">
        <x:v>0.0025</x:v>
      </x:c>
    </x:row>
    <x:row r="1516">
      <x:c r="A1516" s="17" t="n">
        <x:v>44583</x:v>
      </x:c>
      <x:c r="B1516" s="20" t="n">
        <x:v>0.0025</x:v>
      </x:c>
    </x:row>
    <x:row r="1517">
      <x:c r="A1517" s="17" t="n">
        <x:v>44584</x:v>
      </x:c>
      <x:c r="B1517" s="20" t="n">
        <x:v>0.0025</x:v>
      </x:c>
    </x:row>
    <x:row r="1518">
      <x:c r="A1518" s="17" t="n">
        <x:v>44585</x:v>
      </x:c>
      <x:c r="B1518" s="20" t="n">
        <x:v>0.0025</x:v>
      </x:c>
    </x:row>
    <x:row r="1519">
      <x:c r="A1519" s="17" t="n">
        <x:v>44586</x:v>
      </x:c>
      <x:c r="B1519" s="20" t="n">
        <x:v>0.0025</x:v>
      </x:c>
    </x:row>
    <x:row r="1520">
      <x:c r="A1520" s="17" t="n">
        <x:v>44587</x:v>
      </x:c>
      <x:c r="B1520" s="20" t="n">
        <x:v>0.0025</x:v>
      </x:c>
    </x:row>
    <x:row r="1521">
      <x:c r="A1521" s="17" t="n">
        <x:v>44588</x:v>
      </x:c>
      <x:c r="B1521" s="20" t="n">
        <x:v>0.0025</x:v>
      </x:c>
    </x:row>
    <x:row r="1522">
      <x:c r="A1522" s="17" t="n">
        <x:v>44589</x:v>
      </x:c>
      <x:c r="B1522" s="20" t="n">
        <x:v>0.0025</x:v>
      </x:c>
    </x:row>
    <x:row r="1523">
      <x:c r="A1523" s="17" t="n">
        <x:v>44590</x:v>
      </x:c>
      <x:c r="B1523" s="20" t="n">
        <x:v>0.0025</x:v>
      </x:c>
    </x:row>
    <x:row r="1524">
      <x:c r="A1524" s="17" t="n">
        <x:v>44591</x:v>
      </x:c>
      <x:c r="B1524" s="20" t="n">
        <x:v>0.0025</x:v>
      </x:c>
    </x:row>
    <x:row r="1525">
      <x:c r="A1525" s="17" t="n">
        <x:v>44592</x:v>
      </x:c>
      <x:c r="B1525" s="20" t="n">
        <x:v>0.0025</x:v>
      </x:c>
    </x:row>
    <x:row r="1526">
      <x:c r="A1526" s="17" t="n">
        <x:v>44593</x:v>
      </x:c>
      <x:c r="B1526" s="20" t="n">
        <x:v>0.0025</x:v>
      </x:c>
    </x:row>
    <x:row r="1527">
      <x:c r="A1527" s="17" t="n">
        <x:v>44594</x:v>
      </x:c>
      <x:c r="B1527" s="20" t="n">
        <x:v>0.0025</x:v>
      </x:c>
    </x:row>
    <x:row r="1528">
      <x:c r="A1528" s="17" t="n">
        <x:v>44595</x:v>
      </x:c>
      <x:c r="B1528" s="20" t="n">
        <x:v>0.0025</x:v>
      </x:c>
    </x:row>
    <x:row r="1529">
      <x:c r="A1529" s="17" t="n">
        <x:v>44596</x:v>
      </x:c>
      <x:c r="B1529" s="20" t="n">
        <x:v>0.0025</x:v>
      </x:c>
    </x:row>
    <x:row r="1530">
      <x:c r="A1530" s="17" t="n">
        <x:v>44597</x:v>
      </x:c>
      <x:c r="B1530" s="20" t="n">
        <x:v>0.0025</x:v>
      </x:c>
    </x:row>
    <x:row r="1531">
      <x:c r="A1531" s="17" t="n">
        <x:v>44598</x:v>
      </x:c>
      <x:c r="B1531" s="20" t="n">
        <x:v>0.0025</x:v>
      </x:c>
    </x:row>
    <x:row r="1532">
      <x:c r="A1532" s="17" t="n">
        <x:v>44599</x:v>
      </x:c>
      <x:c r="B1532" s="20" t="n">
        <x:v>0.0025</x:v>
      </x:c>
    </x:row>
    <x:row r="1533">
      <x:c r="A1533" s="17" t="n">
        <x:v>44600</x:v>
      </x:c>
      <x:c r="B1533" s="20" t="n">
        <x:v>0.0025</x:v>
      </x:c>
    </x:row>
    <x:row r="1534">
      <x:c r="A1534" s="17" t="n">
        <x:v>44601</x:v>
      </x:c>
      <x:c r="B1534" s="20" t="n">
        <x:v>0.0025</x:v>
      </x:c>
    </x:row>
    <x:row r="1535">
      <x:c r="A1535" s="17" t="n">
        <x:v>44602</x:v>
      </x:c>
      <x:c r="B1535" s="20" t="n">
        <x:v>0.0025</x:v>
      </x:c>
    </x:row>
    <x:row r="1536">
      <x:c r="A1536" s="17" t="n">
        <x:v>44603</x:v>
      </x:c>
      <x:c r="B1536" s="20" t="n">
        <x:v>0.0025</x:v>
      </x:c>
    </x:row>
    <x:row r="1537">
      <x:c r="A1537" s="17" t="n">
        <x:v>44604</x:v>
      </x:c>
      <x:c r="B1537" s="20" t="n">
        <x:v>0.0025</x:v>
      </x:c>
    </x:row>
    <x:row r="1538">
      <x:c r="A1538" s="17" t="n">
        <x:v>44605</x:v>
      </x:c>
      <x:c r="B1538" s="20" t="n">
        <x:v>0.0025</x:v>
      </x:c>
    </x:row>
    <x:row r="1539">
      <x:c r="A1539" s="17" t="n">
        <x:v>44606</x:v>
      </x:c>
      <x:c r="B1539" s="20" t="n">
        <x:v>0.0025</x:v>
      </x:c>
    </x:row>
    <x:row r="1540">
      <x:c r="A1540" s="17" t="n">
        <x:v>44607</x:v>
      </x:c>
      <x:c r="B1540" s="20" t="n">
        <x:v>0.0025</x:v>
      </x:c>
    </x:row>
    <x:row r="1541">
      <x:c r="A1541" s="17" t="n">
        <x:v>44608</x:v>
      </x:c>
      <x:c r="B1541" s="20" t="n">
        <x:v>0.0025</x:v>
      </x:c>
    </x:row>
    <x:row r="1542">
      <x:c r="A1542" s="17" t="n">
        <x:v>44609</x:v>
      </x:c>
      <x:c r="B1542" s="20" t="n">
        <x:v>0.0025</x:v>
      </x:c>
    </x:row>
    <x:row r="1543">
      <x:c r="A1543" s="17" t="n">
        <x:v>44610</x:v>
      </x:c>
      <x:c r="B1543" s="20" t="n">
        <x:v>0.0025</x:v>
      </x:c>
    </x:row>
    <x:row r="1544">
      <x:c r="A1544" s="17" t="n">
        <x:v>44611</x:v>
      </x:c>
      <x:c r="B1544" s="20" t="n">
        <x:v>0.0025</x:v>
      </x:c>
    </x:row>
    <x:row r="1545">
      <x:c r="A1545" s="17" t="n">
        <x:v>44612</x:v>
      </x:c>
      <x:c r="B1545" s="20" t="n">
        <x:v>0.0025</x:v>
      </x:c>
    </x:row>
    <x:row r="1546">
      <x:c r="A1546" s="17" t="n">
        <x:v>44613</x:v>
      </x:c>
      <x:c r="B1546" s="20" t="n">
        <x:v>0.0025</x:v>
      </x:c>
    </x:row>
    <x:row r="1547">
      <x:c r="A1547" s="17" t="n">
        <x:v>44614</x:v>
      </x:c>
      <x:c r="B1547" s="20" t="n">
        <x:v>0.0025</x:v>
      </x:c>
    </x:row>
    <x:row r="1548">
      <x:c r="A1548" s="17" t="n">
        <x:v>44615</x:v>
      </x:c>
      <x:c r="B1548" s="20" t="n">
        <x:v>0.0025</x:v>
      </x:c>
    </x:row>
    <x:row r="1549">
      <x:c r="A1549" s="17" t="n">
        <x:v>44616</x:v>
      </x:c>
      <x:c r="B1549" s="20" t="n">
        <x:v>0.0025</x:v>
      </x:c>
    </x:row>
    <x:row r="1550">
      <x:c r="A1550" s="17" t="n">
        <x:v>44617</x:v>
      </x:c>
      <x:c r="B1550" s="20" t="n">
        <x:v>0.0025</x:v>
      </x:c>
    </x:row>
    <x:row r="1551">
      <x:c r="A1551" s="17" t="n">
        <x:v>44618</x:v>
      </x:c>
      <x:c r="B1551" s="20" t="n">
        <x:v>0.0025</x:v>
      </x:c>
    </x:row>
    <x:row r="1552">
      <x:c r="A1552" s="17" t="n">
        <x:v>44619</x:v>
      </x:c>
      <x:c r="B1552" s="20" t="n">
        <x:v>0.0025</x:v>
      </x:c>
    </x:row>
    <x:row r="1553">
      <x:c r="A1553" s="17" t="n">
        <x:v>44620</x:v>
      </x:c>
      <x:c r="B1553" s="20" t="n">
        <x:v>0.0025</x:v>
      </x:c>
    </x:row>
    <x:row r="1554">
      <x:c r="A1554" s="17" t="n">
        <x:v>44621</x:v>
      </x:c>
      <x:c r="B1554" s="20" t="n">
        <x:v>0.0025</x:v>
      </x:c>
    </x:row>
    <x:row r="1555">
      <x:c r="A1555" s="17" t="n">
        <x:v>44622</x:v>
      </x:c>
      <x:c r="B1555" s="20" t="n">
        <x:v>0.0025</x:v>
      </x:c>
    </x:row>
    <x:row r="1556">
      <x:c r="A1556" s="17" t="n">
        <x:v>44623</x:v>
      </x:c>
      <x:c r="B1556" s="20" t="n">
        <x:v>0.0025</x:v>
      </x:c>
    </x:row>
    <x:row r="1557">
      <x:c r="A1557" s="17" t="n">
        <x:v>44624</x:v>
      </x:c>
      <x:c r="B1557" s="20" t="n">
        <x:v>0.0025</x:v>
      </x:c>
    </x:row>
    <x:row r="1558">
      <x:c r="A1558" s="17" t="n">
        <x:v>44625</x:v>
      </x:c>
      <x:c r="B1558" s="20" t="n">
        <x:v>0.0025</x:v>
      </x:c>
    </x:row>
    <x:row r="1559">
      <x:c r="A1559" s="17" t="n">
        <x:v>44626</x:v>
      </x:c>
      <x:c r="B1559" s="20" t="n">
        <x:v>0.0025</x:v>
      </x:c>
    </x:row>
    <x:row r="1560">
      <x:c r="A1560" s="17" t="n">
        <x:v>44627</x:v>
      </x:c>
      <x:c r="B1560" s="20" t="n">
        <x:v>0.0025</x:v>
      </x:c>
    </x:row>
    <x:row r="1561">
      <x:c r="A1561" s="17" t="n">
        <x:v>44628</x:v>
      </x:c>
      <x:c r="B1561" s="20" t="n">
        <x:v>0.0025</x:v>
      </x:c>
    </x:row>
    <x:row r="1562">
      <x:c r="A1562" s="17" t="n">
        <x:v>44629</x:v>
      </x:c>
      <x:c r="B1562" s="20" t="n">
        <x:v>0.0025</x:v>
      </x:c>
    </x:row>
    <x:row r="1563">
      <x:c r="A1563" s="17" t="n">
        <x:v>44630</x:v>
      </x:c>
      <x:c r="B1563" s="20" t="n">
        <x:v>0.0025</x:v>
      </x:c>
    </x:row>
    <x:row r="1564">
      <x:c r="A1564" s="17" t="n">
        <x:v>44631</x:v>
      </x:c>
      <x:c r="B1564" s="20" t="n">
        <x:v>0.0025</x:v>
      </x:c>
    </x:row>
    <x:row r="1565">
      <x:c r="A1565" s="17" t="n">
        <x:v>44632</x:v>
      </x:c>
      <x:c r="B1565" s="20" t="n">
        <x:v>0.0025</x:v>
      </x:c>
    </x:row>
    <x:row r="1566">
      <x:c r="A1566" s="17" t="n">
        <x:v>44633</x:v>
      </x:c>
      <x:c r="B1566" s="20" t="n">
        <x:v>0.0025</x:v>
      </x:c>
    </x:row>
    <x:row r="1567">
      <x:c r="A1567" s="17" t="n">
        <x:v>44634</x:v>
      </x:c>
      <x:c r="B1567" s="20" t="n">
        <x:v>0.0025</x:v>
      </x:c>
    </x:row>
    <x:row r="1568">
      <x:c r="A1568" s="17" t="n">
        <x:v>44635</x:v>
      </x:c>
      <x:c r="B1568" s="20" t="n">
        <x:v>0.0025</x:v>
      </x:c>
    </x:row>
    <x:row r="1569">
      <x:c r="A1569" s="17" t="n">
        <x:v>44636</x:v>
      </x:c>
      <x:c r="B1569" s="20" t="n">
        <x:v>0.0025</x:v>
      </x:c>
    </x:row>
    <x:row r="1570">
      <x:c r="A1570" s="17" t="n">
        <x:v>44637</x:v>
      </x:c>
      <x:c r="B1570" s="20" t="n">
        <x:v>0.005</x:v>
      </x:c>
    </x:row>
    <x:row r="1571">
      <x:c r="A1571" s="17" t="n">
        <x:v>44638</x:v>
      </x:c>
      <x:c r="B1571" s="20" t="n">
        <x:v>0.005</x:v>
      </x:c>
    </x:row>
    <x:row r="1572">
      <x:c r="A1572" s="17" t="n">
        <x:v>44639</x:v>
      </x:c>
      <x:c r="B1572" s="20" t="n">
        <x:v>0.005</x:v>
      </x:c>
    </x:row>
    <x:row r="1573">
      <x:c r="A1573" s="17" t="n">
        <x:v>44640</x:v>
      </x:c>
      <x:c r="B1573" s="20" t="n">
        <x:v>0.005</x:v>
      </x:c>
    </x:row>
    <x:row r="1574">
      <x:c r="A1574" s="17" t="n">
        <x:v>44641</x:v>
      </x:c>
      <x:c r="B1574" s="20" t="n">
        <x:v>0.005</x:v>
      </x:c>
    </x:row>
    <x:row r="1575">
      <x:c r="A1575" s="17" t="n">
        <x:v>44642</x:v>
      </x:c>
      <x:c r="B1575" s="20" t="n">
        <x:v>0.005</x:v>
      </x:c>
    </x:row>
    <x:row r="1576">
      <x:c r="A1576" s="17" t="n">
        <x:v>44643</x:v>
      </x:c>
      <x:c r="B1576" s="20" t="n">
        <x:v>0.005</x:v>
      </x:c>
    </x:row>
    <x:row r="1577">
      <x:c r="A1577" s="17" t="n">
        <x:v>44644</x:v>
      </x:c>
      <x:c r="B1577" s="20" t="n">
        <x:v>0.005</x:v>
      </x:c>
    </x:row>
    <x:row r="1578">
      <x:c r="A1578" s="17" t="n">
        <x:v>44645</x:v>
      </x:c>
      <x:c r="B1578" s="20" t="n">
        <x:v>0.005</x:v>
      </x:c>
    </x:row>
    <x:row r="1579">
      <x:c r="A1579" s="17" t="n">
        <x:v>44646</x:v>
      </x:c>
      <x:c r="B1579" s="20" t="n">
        <x:v>0.005</x:v>
      </x:c>
    </x:row>
    <x:row r="1580">
      <x:c r="A1580" s="17" t="n">
        <x:v>44647</x:v>
      </x:c>
      <x:c r="B1580" s="20" t="n">
        <x:v>0.005</x:v>
      </x:c>
    </x:row>
    <x:row r="1581">
      <x:c r="A1581" s="17" t="n">
        <x:v>44648</x:v>
      </x:c>
      <x:c r="B1581" s="20" t="n">
        <x:v>0.005</x:v>
      </x:c>
    </x:row>
    <x:row r="1582">
      <x:c r="A1582" s="17" t="n">
        <x:v>44649</x:v>
      </x:c>
      <x:c r="B1582" s="20" t="n">
        <x:v>0.005</x:v>
      </x:c>
    </x:row>
    <x:row r="1583">
      <x:c r="A1583" s="17" t="n">
        <x:v>44650</x:v>
      </x:c>
      <x:c r="B1583" s="20" t="n">
        <x:v>0.005</x:v>
      </x:c>
    </x:row>
    <x:row r="1584">
      <x:c r="A1584" s="17" t="n">
        <x:v>44651</x:v>
      </x:c>
      <x:c r="B1584" s="20" t="n">
        <x:v>0.005</x:v>
      </x:c>
    </x:row>
    <x:row r="1585">
      <x:c r="A1585" s="17" t="n">
        <x:v>44652</x:v>
      </x:c>
      <x:c r="B1585" s="20" t="n">
        <x:v>0.005</x:v>
      </x:c>
    </x:row>
    <x:row r="1586">
      <x:c r="A1586" s="17" t="n">
        <x:v>44653</x:v>
      </x:c>
      <x:c r="B1586" s="20" t="n">
        <x:v>0.005</x:v>
      </x:c>
    </x:row>
    <x:row r="1587">
      <x:c r="A1587" s="17" t="n">
        <x:v>44654</x:v>
      </x:c>
      <x:c r="B1587" s="20" t="n">
        <x:v>0.005</x:v>
      </x:c>
    </x:row>
    <x:row r="1588">
      <x:c r="A1588" s="17" t="n">
        <x:v>44655</x:v>
      </x:c>
      <x:c r="B1588" s="20" t="n">
        <x:v>0.005</x:v>
      </x:c>
    </x:row>
    <x:row r="1589">
      <x:c r="A1589" s="17" t="n">
        <x:v>44656</x:v>
      </x:c>
      <x:c r="B1589" s="20" t="n">
        <x:v>0.005</x:v>
      </x:c>
    </x:row>
    <x:row r="1590">
      <x:c r="A1590" s="17" t="n">
        <x:v>44657</x:v>
      </x:c>
      <x:c r="B1590" s="20" t="n">
        <x:v>0.005</x:v>
      </x:c>
    </x:row>
    <x:row r="1591">
      <x:c r="A1591" s="17" t="n">
        <x:v>44658</x:v>
      </x:c>
      <x:c r="B1591" s="20" t="n">
        <x:v>0.005</x:v>
      </x:c>
    </x:row>
    <x:row r="1592">
      <x:c r="A1592" s="17" t="n">
        <x:v>44659</x:v>
      </x:c>
      <x:c r="B1592" s="20" t="n">
        <x:v>0.005</x:v>
      </x:c>
    </x:row>
    <x:row r="1593">
      <x:c r="A1593" s="17" t="n">
        <x:v>44660</x:v>
      </x:c>
      <x:c r="B1593" s="20" t="n">
        <x:v>0.005</x:v>
      </x:c>
    </x:row>
    <x:row r="1594">
      <x:c r="A1594" s="17" t="n">
        <x:v>44661</x:v>
      </x:c>
      <x:c r="B1594" s="20" t="n">
        <x:v>0.005</x:v>
      </x:c>
    </x:row>
    <x:row r="1595">
      <x:c r="A1595" s="17" t="n">
        <x:v>44662</x:v>
      </x:c>
      <x:c r="B1595" s="20" t="n">
        <x:v>0.005</x:v>
      </x:c>
    </x:row>
    <x:row r="1596">
      <x:c r="A1596" s="17" t="n">
        <x:v>44663</x:v>
      </x:c>
      <x:c r="B1596" s="20" t="n">
        <x:v>0.005</x:v>
      </x:c>
    </x:row>
    <x:row r="1597">
      <x:c r="A1597" s="17" t="n">
        <x:v>44664</x:v>
      </x:c>
      <x:c r="B1597" s="20" t="n">
        <x:v>0.005</x:v>
      </x:c>
    </x:row>
    <x:row r="1598">
      <x:c r="A1598" s="17" t="n">
        <x:v>44665</x:v>
      </x:c>
      <x:c r="B1598" s="20" t="n">
        <x:v>0.005</x:v>
      </x:c>
    </x:row>
    <x:row r="1599">
      <x:c r="A1599" s="17" t="n">
        <x:v>44666</x:v>
      </x:c>
      <x:c r="B1599" s="20" t="n">
        <x:v>0.005</x:v>
      </x:c>
    </x:row>
    <x:row r="1600">
      <x:c r="A1600" s="17" t="n">
        <x:v>44667</x:v>
      </x:c>
      <x:c r="B1600" s="20" t="n">
        <x:v>0.005</x:v>
      </x:c>
    </x:row>
    <x:row r="1601">
      <x:c r="A1601" s="17" t="n">
        <x:v>44668</x:v>
      </x:c>
      <x:c r="B1601" s="20" t="n">
        <x:v>0.005</x:v>
      </x:c>
    </x:row>
    <x:row r="1602">
      <x:c r="A1602" s="17" t="n">
        <x:v>44669</x:v>
      </x:c>
      <x:c r="B1602" s="20" t="n">
        <x:v>0.005</x:v>
      </x:c>
    </x:row>
    <x:row r="1603">
      <x:c r="A1603" s="17" t="n">
        <x:v>44670</x:v>
      </x:c>
      <x:c r="B1603" s="20" t="n">
        <x:v>0.005</x:v>
      </x:c>
    </x:row>
    <x:row r="1604">
      <x:c r="A1604" s="17" t="n">
        <x:v>44671</x:v>
      </x:c>
      <x:c r="B1604" s="20" t="n">
        <x:v>0.005</x:v>
      </x:c>
    </x:row>
    <x:row r="1605">
      <x:c r="A1605" s="17" t="n">
        <x:v>44672</x:v>
      </x:c>
      <x:c r="B1605" s="20" t="n">
        <x:v>0.005</x:v>
      </x:c>
    </x:row>
    <x:row r="1606">
      <x:c r="A1606" s="17" t="n">
        <x:v>44673</x:v>
      </x:c>
      <x:c r="B1606" s="20" t="n">
        <x:v>0.005</x:v>
      </x:c>
    </x:row>
    <x:row r="1607">
      <x:c r="A1607" s="17" t="n">
        <x:v>44674</x:v>
      </x:c>
      <x:c r="B1607" s="20" t="n">
        <x:v>0.005</x:v>
      </x:c>
    </x:row>
    <x:row r="1608">
      <x:c r="A1608" s="17" t="n">
        <x:v>44675</x:v>
      </x:c>
      <x:c r="B1608" s="20" t="n">
        <x:v>0.005</x:v>
      </x:c>
    </x:row>
    <x:row r="1609">
      <x:c r="A1609" s="17" t="n">
        <x:v>44676</x:v>
      </x:c>
      <x:c r="B1609" s="20" t="n">
        <x:v>0.005</x:v>
      </x:c>
    </x:row>
    <x:row r="1610">
      <x:c r="A1610" s="17" t="n">
        <x:v>44677</x:v>
      </x:c>
      <x:c r="B1610" s="20" t="n">
        <x:v>0.005</x:v>
      </x:c>
    </x:row>
    <x:row r="1611">
      <x:c r="A1611" s="17" t="n">
        <x:v>44678</x:v>
      </x:c>
      <x:c r="B1611" s="20" t="n">
        <x:v>0.005</x:v>
      </x:c>
    </x:row>
    <x:row r="1612">
      <x:c r="A1612" s="17" t="n">
        <x:v>44679</x:v>
      </x:c>
      <x:c r="B1612" s="20" t="n">
        <x:v>0.005</x:v>
      </x:c>
    </x:row>
    <x:row r="1613">
      <x:c r="A1613" s="17" t="n">
        <x:v>44680</x:v>
      </x:c>
      <x:c r="B1613" s="20" t="n">
        <x:v>0.005</x:v>
      </x:c>
    </x:row>
    <x:row r="1614">
      <x:c r="A1614" s="17" t="n">
        <x:v>44681</x:v>
      </x:c>
      <x:c r="B1614" s="20" t="n">
        <x:v>0.005</x:v>
      </x:c>
    </x:row>
    <x:row r="1615">
      <x:c r="A1615" s="17" t="n">
        <x:v>44682</x:v>
      </x:c>
      <x:c r="B1615" s="20" t="n">
        <x:v>0.005</x:v>
      </x:c>
    </x:row>
    <x:row r="1616">
      <x:c r="A1616" s="17" t="n">
        <x:v>44683</x:v>
      </x:c>
      <x:c r="B1616" s="20" t="n">
        <x:v>0.005</x:v>
      </x:c>
    </x:row>
    <x:row r="1617">
      <x:c r="A1617" s="17" t="n">
        <x:v>44684</x:v>
      </x:c>
      <x:c r="B1617" s="20" t="n">
        <x:v>0.005</x:v>
      </x:c>
    </x:row>
    <x:row r="1618">
      <x:c r="A1618" s="17" t="n">
        <x:v>44685</x:v>
      </x:c>
      <x:c r="B1618" s="20" t="n">
        <x:v>0.005</x:v>
      </x:c>
    </x:row>
    <x:row r="1619">
      <x:c r="A1619" s="17" t="n">
        <x:v>44686</x:v>
      </x:c>
      <x:c r="B1619" s="20" t="n">
        <x:v>0.01</x:v>
      </x:c>
    </x:row>
    <x:row r="1620">
      <x:c r="A1620" s="17" t="n">
        <x:v>44687</x:v>
      </x:c>
      <x:c r="B1620" s="20" t="n">
        <x:v>0.01</x:v>
      </x:c>
    </x:row>
    <x:row r="1621">
      <x:c r="A1621" s="17" t="n">
        <x:v>44688</x:v>
      </x:c>
      <x:c r="B1621" s="20" t="n">
        <x:v>0.01</x:v>
      </x:c>
    </x:row>
    <x:row r="1622">
      <x:c r="A1622" s="17" t="n">
        <x:v>44689</x:v>
      </x:c>
      <x:c r="B1622" s="20" t="n">
        <x:v>0.01</x:v>
      </x:c>
    </x:row>
    <x:row r="1623">
      <x:c r="A1623" s="17" t="n">
        <x:v>44690</x:v>
      </x:c>
      <x:c r="B1623" s="20" t="n">
        <x:v>0.01</x:v>
      </x:c>
    </x:row>
    <x:row r="1624">
      <x:c r="A1624" s="17" t="n">
        <x:v>44691</x:v>
      </x:c>
      <x:c r="B1624" s="20" t="n">
        <x:v>0.01</x:v>
      </x:c>
    </x:row>
    <x:row r="1625">
      <x:c r="A1625" s="17" t="n">
        <x:v>44692</x:v>
      </x:c>
      <x:c r="B1625" s="20" t="n">
        <x:v>0.01</x:v>
      </x:c>
    </x:row>
    <x:row r="1626">
      <x:c r="A1626" s="17" t="n">
        <x:v>44693</x:v>
      </x:c>
      <x:c r="B1626" s="20" t="n">
        <x:v>0.01</x:v>
      </x:c>
    </x:row>
    <x:row r="1627">
      <x:c r="A1627" s="17" t="n">
        <x:v>44694</x:v>
      </x:c>
      <x:c r="B1627" s="20" t="n">
        <x:v>0.01</x:v>
      </x:c>
    </x:row>
    <x:row r="1628">
      <x:c r="A1628" s="17" t="n">
        <x:v>44695</x:v>
      </x:c>
      <x:c r="B1628" s="20" t="n">
        <x:v>0.01</x:v>
      </x:c>
    </x:row>
    <x:row r="1629">
      <x:c r="A1629" s="17" t="n">
        <x:v>44696</x:v>
      </x:c>
      <x:c r="B1629" s="20" t="n">
        <x:v>0.01</x:v>
      </x:c>
    </x:row>
    <x:row r="1630">
      <x:c r="A1630" s="17" t="n">
        <x:v>44697</x:v>
      </x:c>
      <x:c r="B1630" s="20" t="n">
        <x:v>0.01</x:v>
      </x:c>
    </x:row>
    <x:row r="1631">
      <x:c r="A1631" s="17" t="n">
        <x:v>44698</x:v>
      </x:c>
      <x:c r="B1631" s="20" t="n">
        <x:v>0.01</x:v>
      </x:c>
    </x:row>
    <x:row r="1632">
      <x:c r="A1632" s="17" t="n">
        <x:v>44699</x:v>
      </x:c>
      <x:c r="B1632" s="20" t="n">
        <x:v>0.01</x:v>
      </x:c>
    </x:row>
    <x:row r="1633">
      <x:c r="A1633" s="17" t="n">
        <x:v>44700</x:v>
      </x:c>
      <x:c r="B1633" s="20" t="n">
        <x:v>0.01</x:v>
      </x:c>
    </x:row>
    <x:row r="1634">
      <x:c r="A1634" s="17" t="n">
        <x:v>44701</x:v>
      </x:c>
      <x:c r="B1634" s="20" t="n">
        <x:v>0.01</x:v>
      </x:c>
    </x:row>
    <x:row r="1635">
      <x:c r="A1635" s="17" t="n">
        <x:v>44702</x:v>
      </x:c>
      <x:c r="B1635" s="20" t="n">
        <x:v>0.01</x:v>
      </x:c>
    </x:row>
    <x:row r="1636">
      <x:c r="A1636" s="17" t="n">
        <x:v>44703</x:v>
      </x:c>
      <x:c r="B1636" s="20" t="n">
        <x:v>0.01</x:v>
      </x:c>
    </x:row>
    <x:row r="1637">
      <x:c r="A1637" s="17" t="n">
        <x:v>44704</x:v>
      </x:c>
      <x:c r="B1637" s="20" t="n">
        <x:v>0.01</x:v>
      </x:c>
    </x:row>
    <x:row r="1638">
      <x:c r="A1638" s="17" t="n">
        <x:v>44705</x:v>
      </x:c>
      <x:c r="B1638" s="20" t="n">
        <x:v>0.01</x:v>
      </x:c>
    </x:row>
    <x:row r="1639">
      <x:c r="A1639" s="17" t="n">
        <x:v>44706</x:v>
      </x:c>
      <x:c r="B1639" s="20" t="n">
        <x:v>0.01</x:v>
      </x:c>
    </x:row>
    <x:row r="1640">
      <x:c r="A1640" s="17" t="n">
        <x:v>44707</x:v>
      </x:c>
      <x:c r="B1640" s="20" t="n">
        <x:v>0.01</x:v>
      </x:c>
    </x:row>
    <x:row r="1641">
      <x:c r="A1641" s="17" t="n">
        <x:v>44708</x:v>
      </x:c>
      <x:c r="B1641" s="20" t="n">
        <x:v>0.01</x:v>
      </x:c>
    </x:row>
    <x:row r="1642">
      <x:c r="A1642" s="17" t="n">
        <x:v>44709</x:v>
      </x:c>
      <x:c r="B1642" s="20" t="n">
        <x:v>0.01</x:v>
      </x:c>
    </x:row>
    <x:row r="1643">
      <x:c r="A1643" s="17" t="n">
        <x:v>44710</x:v>
      </x:c>
      <x:c r="B1643" s="20" t="n">
        <x:v>0.01</x:v>
      </x:c>
    </x:row>
    <x:row r="1644">
      <x:c r="A1644" s="17" t="n">
        <x:v>44711</x:v>
      </x:c>
      <x:c r="B1644" s="20" t="n">
        <x:v>0.01</x:v>
      </x:c>
    </x:row>
    <x:row r="1645">
      <x:c r="A1645" s="17" t="n">
        <x:v>44712</x:v>
      </x:c>
      <x:c r="B1645" s="20" t="n">
        <x:v>0.01</x:v>
      </x:c>
    </x:row>
    <x:row r="1646">
      <x:c r="A1646" s="17" t="n">
        <x:v>44713</x:v>
      </x:c>
      <x:c r="B1646" s="20" t="n">
        <x:v>0.01</x:v>
      </x:c>
    </x:row>
    <x:row r="1647">
      <x:c r="A1647" s="17" t="n">
        <x:v>44714</x:v>
      </x:c>
      <x:c r="B1647" s="20" t="n">
        <x:v>0.01</x:v>
      </x:c>
    </x:row>
    <x:row r="1648">
      <x:c r="A1648" s="17" t="n">
        <x:v>44715</x:v>
      </x:c>
      <x:c r="B1648" s="20" t="n">
        <x:v>0.01</x:v>
      </x:c>
    </x:row>
    <x:row r="1649">
      <x:c r="A1649" s="17" t="n">
        <x:v>44716</x:v>
      </x:c>
      <x:c r="B1649" s="20" t="n">
        <x:v>0.01</x:v>
      </x:c>
    </x:row>
    <x:row r="1650">
      <x:c r="A1650" s="17" t="n">
        <x:v>44717</x:v>
      </x:c>
      <x:c r="B1650" s="20" t="n">
        <x:v>0.01</x:v>
      </x:c>
    </x:row>
    <x:row r="1651">
      <x:c r="A1651" s="17" t="n">
        <x:v>44718</x:v>
      </x:c>
      <x:c r="B1651" s="20" t="n">
        <x:v>0.01</x:v>
      </x:c>
    </x:row>
    <x:row r="1652">
      <x:c r="A1652" s="17" t="n">
        <x:v>44719</x:v>
      </x:c>
      <x:c r="B1652" s="20" t="n">
        <x:v>0.01</x:v>
      </x:c>
    </x:row>
    <x:row r="1653">
      <x:c r="A1653" s="17" t="n">
        <x:v>44720</x:v>
      </x:c>
      <x:c r="B1653" s="20" t="n">
        <x:v>0.01</x:v>
      </x:c>
    </x:row>
    <x:row r="1654">
      <x:c r="A1654" s="17" t="n">
        <x:v>44721</x:v>
      </x:c>
      <x:c r="B1654" s="20" t="n">
        <x:v>0.01</x:v>
      </x:c>
    </x:row>
    <x:row r="1655">
      <x:c r="A1655" s="17" t="n">
        <x:v>44722</x:v>
      </x:c>
      <x:c r="B1655" s="20" t="n">
        <x:v>0.01</x:v>
      </x:c>
    </x:row>
    <x:row r="1656">
      <x:c r="A1656" s="17" t="n">
        <x:v>44723</x:v>
      </x:c>
      <x:c r="B1656" s="20" t="n">
        <x:v>0.01</x:v>
      </x:c>
    </x:row>
    <x:row r="1657">
      <x:c r="A1657" s="17" t="n">
        <x:v>44724</x:v>
      </x:c>
      <x:c r="B1657" s="20" t="n">
        <x:v>0.01</x:v>
      </x:c>
    </x:row>
    <x:row r="1658">
      <x:c r="A1658" s="17" t="n">
        <x:v>44725</x:v>
      </x:c>
      <x:c r="B1658" s="20" t="n">
        <x:v>0.01</x:v>
      </x:c>
    </x:row>
    <x:row r="1659">
      <x:c r="A1659" s="17" t="n">
        <x:v>44726</x:v>
      </x:c>
      <x:c r="B1659" s="20" t="n">
        <x:v>0.01</x:v>
      </x:c>
    </x:row>
    <x:row r="1660">
      <x:c r="A1660" s="17" t="n">
        <x:v>44727</x:v>
      </x:c>
      <x:c r="B1660" s="20" t="n">
        <x:v>0.01</x:v>
      </x:c>
    </x:row>
    <x:row r="1661">
      <x:c r="A1661" s="17" t="n">
        <x:v>44728</x:v>
      </x:c>
      <x:c r="B1661" s="20" t="n">
        <x:v>0.0175</x:v>
      </x:c>
    </x:row>
    <x:row r="1662">
      <x:c r="A1662" s="17" t="n">
        <x:v>44729</x:v>
      </x:c>
      <x:c r="B1662" s="20" t="n">
        <x:v>0.0175</x:v>
      </x:c>
    </x:row>
    <x:row r="1663">
      <x:c r="A1663" s="17" t="n">
        <x:v>44730</x:v>
      </x:c>
      <x:c r="B1663" s="20" t="n">
        <x:v>0.0175</x:v>
      </x:c>
    </x:row>
    <x:row r="1664">
      <x:c r="A1664" s="17" t="n">
        <x:v>44731</x:v>
      </x:c>
      <x:c r="B1664" s="20" t="n">
        <x:v>0.0175</x:v>
      </x:c>
    </x:row>
    <x:row r="1665">
      <x:c r="A1665" s="17" t="n">
        <x:v>44732</x:v>
      </x:c>
      <x:c r="B1665" s="20" t="n">
        <x:v>0.0175</x:v>
      </x:c>
    </x:row>
    <x:row r="1666">
      <x:c r="A1666" s="17" t="n">
        <x:v>44733</x:v>
      </x:c>
      <x:c r="B1666" s="20" t="n">
        <x:v>0.0175</x:v>
      </x:c>
    </x:row>
    <x:row r="1667">
      <x:c r="A1667" s="17" t="n">
        <x:v>44734</x:v>
      </x:c>
      <x:c r="B1667" s="20" t="n">
        <x:v>0.0175</x:v>
      </x:c>
    </x:row>
    <x:row r="1668">
      <x:c r="A1668" s="17" t="n">
        <x:v>44735</x:v>
      </x:c>
      <x:c r="B1668" s="20" t="n">
        <x:v>0.0175</x:v>
      </x:c>
    </x:row>
    <x:row r="1669">
      <x:c r="A1669" s="17" t="n">
        <x:v>44736</x:v>
      </x:c>
      <x:c r="B1669" s="20" t="n">
        <x:v>0.0175</x:v>
      </x:c>
    </x:row>
    <x:row r="1670">
      <x:c r="A1670" s="17" t="n">
        <x:v>44737</x:v>
      </x:c>
      <x:c r="B1670" s="20" t="n">
        <x:v>0.0175</x:v>
      </x:c>
    </x:row>
    <x:row r="1671">
      <x:c r="A1671" s="17" t="n">
        <x:v>44738</x:v>
      </x:c>
      <x:c r="B1671" s="20" t="n">
        <x:v>0.0175</x:v>
      </x:c>
    </x:row>
    <x:row r="1672">
      <x:c r="A1672" s="17" t="n">
        <x:v>44739</x:v>
      </x:c>
      <x:c r="B1672" s="20" t="n">
        <x:v>0.0175</x:v>
      </x:c>
    </x:row>
    <x:row r="1673">
      <x:c r="A1673" s="17" t="n">
        <x:v>44740</x:v>
      </x:c>
      <x:c r="B1673" s="20" t="n">
        <x:v>0.0175</x:v>
      </x:c>
    </x:row>
    <x:row r="1674">
      <x:c r="A1674" s="17" t="n">
        <x:v>44741</x:v>
      </x:c>
      <x:c r="B1674" s="20" t="n">
        <x:v>0.0175</x:v>
      </x:c>
    </x:row>
    <x:row r="1675">
      <x:c r="A1675" s="17" t="n">
        <x:v>44742</x:v>
      </x:c>
      <x:c r="B1675" s="20" t="n">
        <x:v>0.0175</x:v>
      </x:c>
    </x:row>
    <x:row r="1676">
      <x:c r="A1676" s="17" t="n">
        <x:v>44743</x:v>
      </x:c>
      <x:c r="B1676" s="20" t="n">
        <x:v>0.0175</x:v>
      </x:c>
    </x:row>
    <x:row r="1677">
      <x:c r="A1677" s="17" t="n">
        <x:v>44744</x:v>
      </x:c>
      <x:c r="B1677" s="20" t="n">
        <x:v>0.0175</x:v>
      </x:c>
    </x:row>
    <x:row r="1678">
      <x:c r="A1678" s="17" t="n">
        <x:v>44745</x:v>
      </x:c>
      <x:c r="B1678" s="20" t="n">
        <x:v>0.0175</x:v>
      </x:c>
    </x:row>
    <x:row r="1679">
      <x:c r="A1679" s="17" t="n">
        <x:v>44746</x:v>
      </x:c>
      <x:c r="B1679" s="20" t="n">
        <x:v>0.0175</x:v>
      </x:c>
    </x:row>
    <x:row r="1680">
      <x:c r="A1680" s="17" t="n">
        <x:v>44747</x:v>
      </x:c>
      <x:c r="B1680" s="20" t="n">
        <x:v>0.0175</x:v>
      </x:c>
    </x:row>
    <x:row r="1681">
      <x:c r="A1681" s="17" t="n">
        <x:v>44748</x:v>
      </x:c>
      <x:c r="B1681" s="20" t="n">
        <x:v>0.0175</x:v>
      </x:c>
    </x:row>
    <x:row r="1682">
      <x:c r="A1682" s="17" t="n">
        <x:v>44749</x:v>
      </x:c>
      <x:c r="B1682" s="20" t="n">
        <x:v>0.0175</x:v>
      </x:c>
    </x:row>
    <x:row r="1683">
      <x:c r="A1683" s="17" t="n">
        <x:v>44750</x:v>
      </x:c>
      <x:c r="B1683" s="20" t="n">
        <x:v>0.0175</x:v>
      </x:c>
    </x:row>
    <x:row r="1684">
      <x:c r="A1684" s="17" t="n">
        <x:v>44751</x:v>
      </x:c>
      <x:c r="B1684" s="20" t="n">
        <x:v>0.0175</x:v>
      </x:c>
    </x:row>
    <x:row r="1685">
      <x:c r="A1685" s="17" t="n">
        <x:v>44752</x:v>
      </x:c>
      <x:c r="B1685" s="20" t="n">
        <x:v>0.0175</x:v>
      </x:c>
    </x:row>
    <x:row r="1686">
      <x:c r="A1686" s="17" t="n">
        <x:v>44753</x:v>
      </x:c>
      <x:c r="B1686" s="20" t="n">
        <x:v>0.0175</x:v>
      </x:c>
    </x:row>
    <x:row r="1687">
      <x:c r="A1687" s="17" t="n">
        <x:v>44754</x:v>
      </x:c>
      <x:c r="B1687" s="20" t="n">
        <x:v>0.0175</x:v>
      </x:c>
    </x:row>
    <x:row r="1688">
      <x:c r="A1688" s="17" t="n">
        <x:v>44755</x:v>
      </x:c>
      <x:c r="B1688" s="20" t="n">
        <x:v>0.0175</x:v>
      </x:c>
    </x:row>
    <x:row r="1689">
      <x:c r="A1689" s="17" t="n">
        <x:v>44756</x:v>
      </x:c>
      <x:c r="B1689" s="20" t="n">
        <x:v>0.0175</x:v>
      </x:c>
    </x:row>
    <x:row r="1690">
      <x:c r="A1690" s="17" t="n">
        <x:v>44757</x:v>
      </x:c>
      <x:c r="B1690" s="20" t="n">
        <x:v>0.0175</x:v>
      </x:c>
    </x:row>
    <x:row r="1691">
      <x:c r="A1691" s="17" t="n">
        <x:v>44758</x:v>
      </x:c>
      <x:c r="B1691" s="20" t="n">
        <x:v>0.0175</x:v>
      </x:c>
    </x:row>
    <x:row r="1692">
      <x:c r="A1692" s="17" t="n">
        <x:v>44759</x:v>
      </x:c>
      <x:c r="B1692" s="20" t="n">
        <x:v>0.0175</x:v>
      </x:c>
    </x:row>
    <x:row r="1693">
      <x:c r="A1693" s="17" t="n">
        <x:v>44760</x:v>
      </x:c>
      <x:c r="B1693" s="20" t="n">
        <x:v>0.0175</x:v>
      </x:c>
    </x:row>
    <x:row r="1694">
      <x:c r="A1694" s="17" t="n">
        <x:v>44761</x:v>
      </x:c>
      <x:c r="B1694" s="20" t="n">
        <x:v>0.0175</x:v>
      </x:c>
    </x:row>
    <x:row r="1695">
      <x:c r="A1695" s="17" t="n">
        <x:v>44762</x:v>
      </x:c>
      <x:c r="B1695" s="20" t="n">
        <x:v>0.0175</x:v>
      </x:c>
    </x:row>
    <x:row r="1696">
      <x:c r="A1696" s="17" t="n">
        <x:v>44763</x:v>
      </x:c>
      <x:c r="B1696" s="20" t="n">
        <x:v>0.0175</x:v>
      </x:c>
    </x:row>
    <x:row r="1697">
      <x:c r="A1697" s="17" t="n">
        <x:v>44764</x:v>
      </x:c>
      <x:c r="B1697" s="20" t="n">
        <x:v>0.0175</x:v>
      </x:c>
    </x:row>
    <x:row r="1698">
      <x:c r="A1698" s="17" t="n">
        <x:v>44765</x:v>
      </x:c>
      <x:c r="B1698" s="20" t="n">
        <x:v>0.0175</x:v>
      </x:c>
    </x:row>
    <x:row r="1699">
      <x:c r="A1699" s="17" t="n">
        <x:v>44766</x:v>
      </x:c>
      <x:c r="B1699" s="20" t="n">
        <x:v>0.0175</x:v>
      </x:c>
    </x:row>
    <x:row r="1700">
      <x:c r="A1700" s="17" t="n">
        <x:v>44767</x:v>
      </x:c>
      <x:c r="B1700" s="20" t="n">
        <x:v>0.0175</x:v>
      </x:c>
    </x:row>
    <x:row r="1701">
      <x:c r="A1701" s="17" t="n">
        <x:v>44768</x:v>
      </x:c>
      <x:c r="B1701" s="20" t="n">
        <x:v>0.0175</x:v>
      </x:c>
    </x:row>
    <x:row r="1702">
      <x:c r="A1702" s="17" t="n">
        <x:v>44769</x:v>
      </x:c>
      <x:c r="B1702" s="20" t="n">
        <x:v>0.0175</x:v>
      </x:c>
    </x:row>
    <x:row r="1703">
      <x:c r="A1703" s="17" t="n">
        <x:v>44770</x:v>
      </x:c>
      <x:c r="B1703" s="20" t="n">
        <x:v>0.025</x:v>
      </x:c>
    </x:row>
    <x:row r="1704">
      <x:c r="A1704" s="17" t="n">
        <x:v>44771</x:v>
      </x:c>
      <x:c r="B1704" s="20" t="n">
        <x:v>0.025</x:v>
      </x:c>
    </x:row>
    <x:row r="1705">
      <x:c r="A1705" s="17" t="n">
        <x:v>44772</x:v>
      </x:c>
      <x:c r="B1705" s="20" t="n">
        <x:v>0.025</x:v>
      </x:c>
    </x:row>
    <x:row r="1706">
      <x:c r="A1706" s="17" t="n">
        <x:v>44773</x:v>
      </x:c>
      <x:c r="B1706" s="20" t="n">
        <x:v>0.025</x:v>
      </x:c>
    </x:row>
    <x:row r="1707">
      <x:c r="A1707" s="17" t="n">
        <x:v>44774</x:v>
      </x:c>
      <x:c r="B1707" s="20" t="n">
        <x:v>0.025</x:v>
      </x:c>
    </x:row>
    <x:row r="1708">
      <x:c r="A1708" s="17" t="n">
        <x:v>44775</x:v>
      </x:c>
      <x:c r="B1708" s="20" t="n">
        <x:v>0.025</x:v>
      </x:c>
    </x:row>
    <x:row r="1709">
      <x:c r="A1709" s="17" t="n">
        <x:v>44776</x:v>
      </x:c>
      <x:c r="B1709" s="20" t="n">
        <x:v>0.025</x:v>
      </x:c>
    </x:row>
    <x:row r="1710">
      <x:c r="A1710" s="17" t="n">
        <x:v>44777</x:v>
      </x:c>
      <x:c r="B1710" s="20" t="n">
        <x:v>0.025</x:v>
      </x:c>
    </x:row>
    <x:row r="1711">
      <x:c r="A1711" s="17" t="n">
        <x:v>44778</x:v>
      </x:c>
      <x:c r="B1711" s="20" t="n">
        <x:v>0.025</x:v>
      </x:c>
    </x:row>
    <x:row r="1712">
      <x:c r="A1712" s="17" t="n">
        <x:v>44779</x:v>
      </x:c>
      <x:c r="B1712" s="20" t="n">
        <x:v>0.025</x:v>
      </x:c>
    </x:row>
    <x:row r="1713">
      <x:c r="A1713" s="17" t="n">
        <x:v>44780</x:v>
      </x:c>
      <x:c r="B1713" s="20" t="n">
        <x:v>0.025</x:v>
      </x:c>
    </x:row>
    <x:row r="1714">
      <x:c r="A1714" s="17" t="n">
        <x:v>44781</x:v>
      </x:c>
      <x:c r="B1714" s="20" t="n">
        <x:v>0.025</x:v>
      </x:c>
    </x:row>
    <x:row r="1715">
      <x:c r="A1715" s="17" t="n">
        <x:v>44782</x:v>
      </x:c>
      <x:c r="B1715" s="20" t="n">
        <x:v>0.025</x:v>
      </x:c>
    </x:row>
    <x:row r="1716">
      <x:c r="A1716" s="17" t="n">
        <x:v>44783</x:v>
      </x:c>
      <x:c r="B1716" s="20" t="n">
        <x:v>0.025</x:v>
      </x:c>
    </x:row>
    <x:row r="1717">
      <x:c r="A1717" s="17" t="n">
        <x:v>44784</x:v>
      </x:c>
      <x:c r="B1717" s="20" t="n">
        <x:v>0.025</x:v>
      </x:c>
    </x:row>
    <x:row r="1718">
      <x:c r="A1718" s="17" t="n">
        <x:v>44785</x:v>
      </x:c>
      <x:c r="B1718" s="20" t="n">
        <x:v>0.025</x:v>
      </x:c>
    </x:row>
    <x:row r="1719">
      <x:c r="A1719" s="17" t="n">
        <x:v>44786</x:v>
      </x:c>
      <x:c r="B1719" s="20" t="n">
        <x:v>0.025</x:v>
      </x:c>
    </x:row>
    <x:row r="1720">
      <x:c r="A1720" s="17" t="n">
        <x:v>44787</x:v>
      </x:c>
      <x:c r="B1720" s="20" t="n">
        <x:v>0.025</x:v>
      </x:c>
    </x:row>
    <x:row r="1721">
      <x:c r="A1721" s="17" t="n">
        <x:v>44788</x:v>
      </x:c>
      <x:c r="B1721" s="20" t="n">
        <x:v>0.025</x:v>
      </x:c>
    </x:row>
    <x:row r="1722">
      <x:c r="A1722" s="17" t="n">
        <x:v>44789</x:v>
      </x:c>
      <x:c r="B1722" s="20" t="n">
        <x:v>0.025</x:v>
      </x:c>
    </x:row>
    <x:row r="1723">
      <x:c r="A1723" s="17" t="n">
        <x:v>44790</x:v>
      </x:c>
      <x:c r="B1723" s="20" t="n">
        <x:v>0.025</x:v>
      </x:c>
    </x:row>
    <x:row r="1724">
      <x:c r="A1724" s="17" t="n">
        <x:v>44791</x:v>
      </x:c>
      <x:c r="B1724" s="20" t="n">
        <x:v>0.025</x:v>
      </x:c>
    </x:row>
    <x:row r="1725">
      <x:c r="A1725" s="17" t="n">
        <x:v>44792</x:v>
      </x:c>
      <x:c r="B1725" s="20" t="n">
        <x:v>0.025</x:v>
      </x:c>
    </x:row>
    <x:row r="1726">
      <x:c r="A1726" s="17" t="n">
        <x:v>44793</x:v>
      </x:c>
      <x:c r="B1726" s="20" t="n">
        <x:v>0.025</x:v>
      </x:c>
    </x:row>
    <x:row r="1727">
      <x:c r="A1727" s="17" t="n">
        <x:v>44794</x:v>
      </x:c>
      <x:c r="B1727" s="20" t="n">
        <x:v>0.025</x:v>
      </x:c>
    </x:row>
    <x:row r="1728">
      <x:c r="A1728" s="17" t="n">
        <x:v>44795</x:v>
      </x:c>
      <x:c r="B1728" s="20" t="n">
        <x:v>0.025</x:v>
      </x:c>
    </x:row>
    <x:row r="1729">
      <x:c r="A1729" s="17" t="n">
        <x:v>44796</x:v>
      </x:c>
      <x:c r="B1729" s="20" t="n">
        <x:v>0.025</x:v>
      </x:c>
    </x:row>
    <x:row r="1730">
      <x:c r="A1730" s="17" t="n">
        <x:v>44797</x:v>
      </x:c>
      <x:c r="B1730" s="20" t="n">
        <x:v>0.025</x:v>
      </x:c>
    </x:row>
    <x:row r="1731">
      <x:c r="A1731" s="17" t="n">
        <x:v>44798</x:v>
      </x:c>
      <x:c r="B1731" s="20" t="n">
        <x:v>0.025</x:v>
      </x:c>
    </x:row>
    <x:row r="1732">
      <x:c r="A1732" s="17" t="n">
        <x:v>44799</x:v>
      </x:c>
      <x:c r="B1732" s="20" t="n">
        <x:v>0.025</x:v>
      </x:c>
    </x:row>
    <x:row r="1733">
      <x:c r="A1733" s="17" t="n">
        <x:v>44800</x:v>
      </x:c>
      <x:c r="B1733" s="20" t="n">
        <x:v>0.025</x:v>
      </x:c>
    </x:row>
    <x:row r="1734">
      <x:c r="A1734" s="17" t="n">
        <x:v>44801</x:v>
      </x:c>
      <x:c r="B1734" s="20" t="n">
        <x:v>0.025</x:v>
      </x:c>
    </x:row>
    <x:row r="1735">
      <x:c r="A1735" s="17" t="n">
        <x:v>44802</x:v>
      </x:c>
      <x:c r="B1735" s="20" t="n">
        <x:v>0.025</x:v>
      </x:c>
    </x:row>
    <x:row r="1736">
      <x:c r="A1736" s="17" t="n">
        <x:v>44803</x:v>
      </x:c>
      <x:c r="B1736" s="20" t="n">
        <x:v>0.025</x:v>
      </x:c>
    </x:row>
    <x:row r="1737">
      <x:c r="A1737" s="17" t="n">
        <x:v>44804</x:v>
      </x:c>
      <x:c r="B1737" s="20" t="n">
        <x:v>0.025</x:v>
      </x:c>
    </x:row>
    <x:row r="1738">
      <x:c r="A1738" s="17" t="n">
        <x:v>44805</x:v>
      </x:c>
      <x:c r="B1738" s="20" t="n">
        <x:v>0.025</x:v>
      </x:c>
    </x:row>
    <x:row r="1739">
      <x:c r="A1739" s="17" t="n">
        <x:v>44806</x:v>
      </x:c>
      <x:c r="B1739" s="20" t="n">
        <x:v>0.025</x:v>
      </x:c>
    </x:row>
    <x:row r="1740">
      <x:c r="A1740" s="17" t="n">
        <x:v>44807</x:v>
      </x:c>
      <x:c r="B1740" s="20" t="n">
        <x:v>0.025</x:v>
      </x:c>
    </x:row>
    <x:row r="1741">
      <x:c r="A1741" s="17" t="n">
        <x:v>44808</x:v>
      </x:c>
      <x:c r="B1741" s="20" t="n">
        <x:v>0.025</x:v>
      </x:c>
    </x:row>
    <x:row r="1742">
      <x:c r="A1742" s="17" t="n">
        <x:v>44809</x:v>
      </x:c>
      <x:c r="B1742" s="20" t="n">
        <x:v>0.025</x:v>
      </x:c>
    </x:row>
    <x:row r="1743">
      <x:c r="A1743" s="17" t="n">
        <x:v>44810</x:v>
      </x:c>
      <x:c r="B1743" s="20" t="n">
        <x:v>0.025</x:v>
      </x:c>
    </x:row>
    <x:row r="1744">
      <x:c r="A1744" s="17" t="n">
        <x:v>44811</x:v>
      </x:c>
      <x:c r="B1744" s="20" t="n">
        <x:v>0.025</x:v>
      </x:c>
    </x:row>
    <x:row r="1745">
      <x:c r="A1745" s="17" t="n">
        <x:v>44812</x:v>
      </x:c>
      <x:c r="B1745" s="20" t="n">
        <x:v>0.025</x:v>
      </x:c>
    </x:row>
    <x:row r="1746">
      <x:c r="A1746" s="17" t="n">
        <x:v>44813</x:v>
      </x:c>
      <x:c r="B1746" s="20" t="n">
        <x:v>0.025</x:v>
      </x:c>
    </x:row>
    <x:row r="1747">
      <x:c r="A1747" s="17" t="n">
        <x:v>44814</x:v>
      </x:c>
      <x:c r="B1747" s="20" t="n">
        <x:v>0.025</x:v>
      </x:c>
    </x:row>
    <x:row r="1748">
      <x:c r="A1748" s="17" t="n">
        <x:v>44815</x:v>
      </x:c>
      <x:c r="B1748" s="20" t="n">
        <x:v>0.025</x:v>
      </x:c>
    </x:row>
    <x:row r="1749">
      <x:c r="A1749" s="17" t="n">
        <x:v>44816</x:v>
      </x:c>
      <x:c r="B1749" s="20" t="n">
        <x:v>0.025</x:v>
      </x:c>
    </x:row>
    <x:row r="1750">
      <x:c r="A1750" s="17" t="n">
        <x:v>44817</x:v>
      </x:c>
      <x:c r="B1750" s="20" t="n">
        <x:v>0.025</x:v>
      </x:c>
    </x:row>
    <x:row r="1751">
      <x:c r="A1751" s="17" t="n">
        <x:v>44818</x:v>
      </x:c>
      <x:c r="B1751" s="20" t="n">
        <x:v>0.025</x:v>
      </x:c>
    </x:row>
    <x:row r="1752">
      <x:c r="A1752" s="17" t="n">
        <x:v>44819</x:v>
      </x:c>
      <x:c r="B1752" s="20" t="n">
        <x:v>0.025</x:v>
      </x:c>
    </x:row>
    <x:row r="1753">
      <x:c r="A1753" s="17" t="n">
        <x:v>44820</x:v>
      </x:c>
      <x:c r="B1753" s="20" t="n">
        <x:v>0.025</x:v>
      </x:c>
    </x:row>
    <x:row r="1754">
      <x:c r="A1754" s="17" t="n">
        <x:v>44821</x:v>
      </x:c>
      <x:c r="B1754" s="20" t="n">
        <x:v>0.025</x:v>
      </x:c>
    </x:row>
    <x:row r="1755">
      <x:c r="A1755" s="17" t="n">
        <x:v>44822</x:v>
      </x:c>
      <x:c r="B1755" s="20" t="n">
        <x:v>0.025</x:v>
      </x:c>
    </x:row>
    <x:row r="1756">
      <x:c r="A1756" s="17" t="n">
        <x:v>44823</x:v>
      </x:c>
      <x:c r="B1756" s="20" t="n">
        <x:v>0.025</x:v>
      </x:c>
    </x:row>
    <x:row r="1757">
      <x:c r="A1757" s="17" t="n">
        <x:v>44824</x:v>
      </x:c>
      <x:c r="B1757" s="20" t="n">
        <x:v>0.025</x:v>
      </x:c>
    </x:row>
    <x:row r="1758">
      <x:c r="A1758" s="17" t="n">
        <x:v>44825</x:v>
      </x:c>
      <x:c r="B1758" s="20" t="n">
        <x:v>0.025</x:v>
      </x:c>
    </x:row>
    <x:row r="1759">
      <x:c r="A1759" s="17" t="n">
        <x:v>44826</x:v>
      </x:c>
      <x:c r="B1759" s="20" t="n">
        <x:v>0.0325</x:v>
      </x:c>
    </x:row>
    <x:row r="1760">
      <x:c r="A1760" s="17" t="n">
        <x:v>44827</x:v>
      </x:c>
      <x:c r="B1760" s="20" t="n">
        <x:v>0.0325</x:v>
      </x:c>
    </x:row>
    <x:row r="1761">
      <x:c r="A1761" s="17" t="n">
        <x:v>44828</x:v>
      </x:c>
      <x:c r="B1761" s="20" t="n">
        <x:v>0.0325</x:v>
      </x:c>
    </x:row>
    <x:row r="1762">
      <x:c r="A1762" s="17" t="n">
        <x:v>44829</x:v>
      </x:c>
      <x:c r="B1762" s="20" t="n">
        <x:v>0.0325</x:v>
      </x:c>
    </x:row>
    <x:row r="1763">
      <x:c r="A1763" s="17" t="n">
        <x:v>44830</x:v>
      </x:c>
      <x:c r="B1763" s="20" t="n">
        <x:v>0.0325</x:v>
      </x:c>
    </x:row>
    <x:row r="1764">
      <x:c r="A1764" s="17" t="n">
        <x:v>44831</x:v>
      </x:c>
      <x:c r="B1764" s="20" t="n">
        <x:v>0.0325</x:v>
      </x:c>
    </x:row>
    <x:row r="1765">
      <x:c r="A1765" s="17" t="n">
        <x:v>44832</x:v>
      </x:c>
      <x:c r="B1765" s="20" t="n">
        <x:v>0.0325</x:v>
      </x:c>
    </x:row>
    <x:row r="1766">
      <x:c r="A1766" s="17" t="n">
        <x:v>44833</x:v>
      </x:c>
      <x:c r="B1766" s="20" t="n">
        <x:v>0.0325</x:v>
      </x:c>
    </x:row>
    <x:row r="1767">
      <x:c r="A1767" s="17" t="n">
        <x:v>44834</x:v>
      </x:c>
      <x:c r="B1767" s="20" t="n">
        <x:v>0.0325</x:v>
      </x:c>
    </x:row>
    <x:row r="1768">
      <x:c r="A1768" s="17" t="n">
        <x:v>44835</x:v>
      </x:c>
      <x:c r="B1768" s="20" t="n">
        <x:v>0.0325</x:v>
      </x:c>
    </x:row>
    <x:row r="1769">
      <x:c r="A1769" s="17" t="n">
        <x:v>44836</x:v>
      </x:c>
      <x:c r="B1769" s="20" t="n">
        <x:v>0.0325</x:v>
      </x:c>
    </x:row>
    <x:row r="1770">
      <x:c r="A1770" s="17" t="n">
        <x:v>44837</x:v>
      </x:c>
      <x:c r="B1770" s="20" t="n">
        <x:v>0.0325</x:v>
      </x:c>
    </x:row>
    <x:row r="1771">
      <x:c r="A1771" s="17" t="n">
        <x:v>44838</x:v>
      </x:c>
      <x:c r="B1771" s="20" t="n">
        <x:v>0.0325</x:v>
      </x:c>
    </x:row>
    <x:row r="1772">
      <x:c r="A1772" s="17" t="n">
        <x:v>44839</x:v>
      </x:c>
      <x:c r="B1772" s="20" t="n">
        <x:v>0.0325</x:v>
      </x:c>
    </x:row>
    <x:row r="1773">
      <x:c r="A1773" s="17" t="n">
        <x:v>44840</x:v>
      </x:c>
      <x:c r="B1773" s="20" t="n">
        <x:v>0.0325</x:v>
      </x:c>
    </x:row>
    <x:row r="1774">
      <x:c r="A1774" s="17" t="n">
        <x:v>44841</x:v>
      </x:c>
      <x:c r="B1774" s="20" t="n">
        <x:v>0.0325</x:v>
      </x:c>
    </x:row>
    <x:row r="1775">
      <x:c r="A1775" s="17" t="n">
        <x:v>44842</x:v>
      </x:c>
      <x:c r="B1775" s="20" t="n">
        <x:v>0.0325</x:v>
      </x:c>
    </x:row>
    <x:row r="1776">
      <x:c r="A1776" s="17" t="n">
        <x:v>44843</x:v>
      </x:c>
      <x:c r="B1776" s="20" t="n">
        <x:v>0.0325</x:v>
      </x:c>
    </x:row>
    <x:row r="1777">
      <x:c r="A1777" s="17" t="n">
        <x:v>44844</x:v>
      </x:c>
      <x:c r="B1777" s="20" t="n">
        <x:v>0.0325</x:v>
      </x:c>
    </x:row>
    <x:row r="1778">
      <x:c r="A1778" s="17" t="n">
        <x:v>44845</x:v>
      </x:c>
      <x:c r="B1778" s="20" t="n">
        <x:v>0.0325</x:v>
      </x:c>
    </x:row>
    <x:row r="1779">
      <x:c r="A1779" s="17" t="n">
        <x:v>44846</x:v>
      </x:c>
      <x:c r="B1779" s="20" t="n">
        <x:v>0.0325</x:v>
      </x:c>
    </x:row>
    <x:row r="1780">
      <x:c r="A1780" s="17" t="n">
        <x:v>44847</x:v>
      </x:c>
      <x:c r="B1780" s="20" t="n">
        <x:v>0.0325</x:v>
      </x:c>
    </x:row>
    <x:row r="1781">
      <x:c r="A1781" s="17" t="n">
        <x:v>44848</x:v>
      </x:c>
      <x:c r="B1781" s="20" t="n">
        <x:v>0.0325</x:v>
      </x:c>
    </x:row>
    <x:row r="1782">
      <x:c r="A1782" s="17" t="n">
        <x:v>44849</x:v>
      </x:c>
      <x:c r="B1782" s="20" t="n">
        <x:v>0.0325</x:v>
      </x:c>
    </x:row>
    <x:row r="1783">
      <x:c r="A1783" s="17" t="n">
        <x:v>44850</x:v>
      </x:c>
      <x:c r="B1783" s="20" t="n">
        <x:v>0.0325</x:v>
      </x:c>
    </x:row>
    <x:row r="1784">
      <x:c r="A1784" s="17" t="n">
        <x:v>44851</x:v>
      </x:c>
      <x:c r="B1784" s="20" t="n">
        <x:v>0.0325</x:v>
      </x:c>
    </x:row>
    <x:row r="1785">
      <x:c r="A1785" s="17" t="n">
        <x:v>44852</x:v>
      </x:c>
      <x:c r="B1785" s="20" t="n">
        <x:v>0.0325</x:v>
      </x:c>
    </x:row>
    <x:row r="1786">
      <x:c r="A1786" s="17" t="n">
        <x:v>44853</x:v>
      </x:c>
      <x:c r="B1786" s="20" t="n">
        <x:v>0.0325</x:v>
      </x:c>
    </x:row>
    <x:row r="1787">
      <x:c r="A1787" s="17" t="n">
        <x:v>44854</x:v>
      </x:c>
      <x:c r="B1787" s="20" t="n">
        <x:v>0.0325</x:v>
      </x:c>
    </x:row>
    <x:row r="1788">
      <x:c r="A1788" s="17" t="n">
        <x:v>44855</x:v>
      </x:c>
      <x:c r="B1788" s="20" t="n">
        <x:v>0.0325</x:v>
      </x:c>
    </x:row>
    <x:row r="1789">
      <x:c r="A1789" s="17" t="n">
        <x:v>44856</x:v>
      </x:c>
      <x:c r="B1789" s="20" t="n">
        <x:v>0.0325</x:v>
      </x:c>
    </x:row>
    <x:row r="1790">
      <x:c r="A1790" s="17" t="n">
        <x:v>44857</x:v>
      </x:c>
      <x:c r="B1790" s="20" t="n">
        <x:v>0.0325</x:v>
      </x:c>
    </x:row>
    <x:row r="1791">
      <x:c r="A1791" s="17" t="n">
        <x:v>44858</x:v>
      </x:c>
      <x:c r="B1791" s="20" t="n">
        <x:v>0.0325</x:v>
      </x:c>
    </x:row>
    <x:row r="1792">
      <x:c r="A1792" s="17" t="n">
        <x:v>44859</x:v>
      </x:c>
      <x:c r="B1792" s="20" t="n">
        <x:v>0.0325</x:v>
      </x:c>
    </x:row>
    <x:row r="1793">
      <x:c r="A1793" s="17" t="n">
        <x:v>44860</x:v>
      </x:c>
      <x:c r="B1793" s="20" t="n">
        <x:v>0.0325</x:v>
      </x:c>
    </x:row>
    <x:row r="1794">
      <x:c r="A1794" s="17" t="n">
        <x:v>44861</x:v>
      </x:c>
      <x:c r="B1794" s="20" t="n">
        <x:v>0.0325</x:v>
      </x:c>
    </x:row>
    <x:row r="1795">
      <x:c r="A1795" s="17" t="n">
        <x:v>44862</x:v>
      </x:c>
      <x:c r="B1795" s="20" t="n">
        <x:v>0.0325</x:v>
      </x:c>
    </x:row>
    <x:row r="1796">
      <x:c r="A1796" s="17" t="n">
        <x:v>44863</x:v>
      </x:c>
      <x:c r="B1796" s="20" t="n">
        <x:v>0.0325</x:v>
      </x:c>
    </x:row>
    <x:row r="1797">
      <x:c r="A1797" s="17" t="n">
        <x:v>44864</x:v>
      </x:c>
      <x:c r="B1797" s="20" t="n">
        <x:v>0.0325</x:v>
      </x:c>
    </x:row>
    <x:row r="1798">
      <x:c r="A1798" s="17" t="n">
        <x:v>44865</x:v>
      </x:c>
      <x:c r="B1798" s="20" t="n">
        <x:v>0.0325</x:v>
      </x:c>
    </x:row>
    <x:row r="1799">
      <x:c r="A1799" s="17" t="n">
        <x:v>44866</x:v>
      </x:c>
      <x:c r="B1799" s="20" t="n">
        <x:v>0.0325</x:v>
      </x:c>
    </x:row>
    <x:row r="1800">
      <x:c r="A1800" s="17" t="n">
        <x:v>44867</x:v>
      </x:c>
      <x:c r="B1800" s="20" t="n">
        <x:v>0.0325</x:v>
      </x:c>
    </x:row>
    <x:row r="1801">
      <x:c r="A1801" s="17" t="n">
        <x:v>44868</x:v>
      </x:c>
      <x:c r="B1801" s="20" t="n">
        <x:v>0.04</x:v>
      </x:c>
    </x:row>
    <x:row r="1802">
      <x:c r="A1802" s="17" t="n">
        <x:v>44869</x:v>
      </x:c>
      <x:c r="B1802" s="20" t="n">
        <x:v>0.04</x:v>
      </x:c>
    </x:row>
    <x:row r="1803">
      <x:c r="A1803" s="17" t="n">
        <x:v>44870</x:v>
      </x:c>
      <x:c r="B1803" s="20" t="n">
        <x:v>0.04</x:v>
      </x:c>
    </x:row>
    <x:row r="1804">
      <x:c r="A1804" s="17" t="n">
        <x:v>44871</x:v>
      </x:c>
      <x:c r="B1804" s="20" t="n">
        <x:v>0.04</x:v>
      </x:c>
    </x:row>
    <x:row r="1805">
      <x:c r="A1805" s="17" t="n">
        <x:v>44872</x:v>
      </x:c>
      <x:c r="B1805" s="20" t="n">
        <x:v>0.04</x:v>
      </x:c>
    </x:row>
    <x:row r="1806">
      <x:c r="A1806" s="17" t="n">
        <x:v>44873</x:v>
      </x:c>
      <x:c r="B1806" s="20" t="n">
        <x:v>0.04</x:v>
      </x:c>
    </x:row>
    <x:row r="1807">
      <x:c r="A1807" s="17" t="n">
        <x:v>44874</x:v>
      </x:c>
      <x:c r="B1807" s="20" t="n">
        <x:v>0.04</x:v>
      </x:c>
    </x:row>
    <x:row r="1808">
      <x:c r="A1808" s="17" t="n">
        <x:v>44875</x:v>
      </x:c>
      <x:c r="B1808" s="20" t="n">
        <x:v>0.04</x:v>
      </x:c>
    </x:row>
    <x:row r="1809">
      <x:c r="A1809" s="17" t="n">
        <x:v>44876</x:v>
      </x:c>
      <x:c r="B1809" s="20" t="n">
        <x:v>0.04</x:v>
      </x:c>
    </x:row>
    <x:row r="1810">
      <x:c r="A1810" s="17" t="n">
        <x:v>44877</x:v>
      </x:c>
      <x:c r="B1810" s="20" t="n">
        <x:v>0.04</x:v>
      </x:c>
    </x:row>
    <x:row r="1811">
      <x:c r="A1811" s="17" t="n">
        <x:v>44878</x:v>
      </x:c>
      <x:c r="B1811" s="20" t="n">
        <x:v>0.04</x:v>
      </x:c>
    </x:row>
    <x:row r="1812">
      <x:c r="A1812" s="17" t="n">
        <x:v>44879</x:v>
      </x:c>
      <x:c r="B1812" s="20" t="n">
        <x:v>0.04</x:v>
      </x:c>
    </x:row>
    <x:row r="1813">
      <x:c r="A1813" s="17" t="n">
        <x:v>44880</x:v>
      </x:c>
      <x:c r="B1813" s="20" t="n">
        <x:v>0.04</x:v>
      </x:c>
    </x:row>
    <x:row r="1814">
      <x:c r="A1814" s="17" t="n">
        <x:v>44881</x:v>
      </x:c>
      <x:c r="B1814" s="20" t="n">
        <x:v>0.04</x:v>
      </x:c>
    </x:row>
    <x:row r="1815">
      <x:c r="A1815" s="17" t="n">
        <x:v>44882</x:v>
      </x:c>
      <x:c r="B1815" s="20" t="n">
        <x:v>0.04</x:v>
      </x:c>
    </x:row>
    <x:row r="1816">
      <x:c r="A1816" s="17" t="n">
        <x:v>44883</x:v>
      </x:c>
      <x:c r="B1816" s="20" t="n">
        <x:v>0.04</x:v>
      </x:c>
    </x:row>
    <x:row r="1817">
      <x:c r="A1817" s="17" t="n">
        <x:v>44884</x:v>
      </x:c>
      <x:c r="B1817" s="20" t="n">
        <x:v>0.04</x:v>
      </x:c>
    </x:row>
    <x:row r="1818">
      <x:c r="A1818" s="17" t="n">
        <x:v>44885</x:v>
      </x:c>
      <x:c r="B1818" s="20" t="n">
        <x:v>0.04</x:v>
      </x:c>
    </x:row>
    <x:row r="1819">
      <x:c r="A1819" s="17" t="n">
        <x:v>44886</x:v>
      </x:c>
      <x:c r="B1819" s="20" t="n">
        <x:v>0.04</x:v>
      </x:c>
    </x:row>
    <x:row r="1820">
      <x:c r="A1820" s="17" t="n">
        <x:v>44887</x:v>
      </x:c>
      <x:c r="B1820" s="20" t="n">
        <x:v>0.04</x:v>
      </x:c>
    </x:row>
    <x:row r="1821">
      <x:c r="A1821" s="17" t="n">
        <x:v>44888</x:v>
      </x:c>
      <x:c r="B1821" s="20" t="n">
        <x:v>0.04</x:v>
      </x:c>
    </x:row>
    <x:row r="1822">
      <x:c r="A1822" s="17" t="n">
        <x:v>44889</x:v>
      </x:c>
      <x:c r="B1822" s="20" t="n">
        <x:v>0.04</x:v>
      </x:c>
    </x:row>
    <x:row r="1823">
      <x:c r="A1823" s="17" t="n">
        <x:v>44890</x:v>
      </x:c>
      <x:c r="B1823" s="20" t="n">
        <x:v>0.04</x:v>
      </x:c>
    </x:row>
    <x:row r="1824">
      <x:c r="A1824" s="17" t="n">
        <x:v>44891</x:v>
      </x:c>
      <x:c r="B1824" s="20" t="n">
        <x:v>0.04</x:v>
      </x:c>
    </x:row>
    <x:row r="1825">
      <x:c r="A1825" s="17" t="n">
        <x:v>44892</x:v>
      </x:c>
      <x:c r="B1825" s="20" t="n">
        <x:v>0.04</x:v>
      </x:c>
    </x:row>
    <x:row r="1826">
      <x:c r="A1826" s="17" t="n">
        <x:v>44893</x:v>
      </x:c>
      <x:c r="B1826" s="20" t="n">
        <x:v>0.04</x:v>
      </x:c>
    </x:row>
    <x:row r="1827">
      <x:c r="A1827" s="17" t="n">
        <x:v>44894</x:v>
      </x:c>
      <x:c r="B1827" s="20" t="n">
        <x:v>0.04</x:v>
      </x:c>
    </x:row>
    <x:row r="1828">
      <x:c r="A1828" s="17" t="n">
        <x:v>44895</x:v>
      </x:c>
      <x:c r="B1828" s="20" t="n">
        <x:v>0.04</x:v>
      </x:c>
    </x:row>
    <x:row r="1829">
      <x:c r="A1829" s="17" t="n">
        <x:v>44896</x:v>
      </x:c>
      <x:c r="B1829" s="20" t="n">
        <x:v>0.04</x:v>
      </x:c>
    </x:row>
    <x:row r="1830">
      <x:c r="A1830" s="17" t="n">
        <x:v>44897</x:v>
      </x:c>
      <x:c r="B1830" s="20" t="n">
        <x:v>0.04</x:v>
      </x:c>
    </x:row>
    <x:row r="1831">
      <x:c r="A1831" s="17" t="n">
        <x:v>44898</x:v>
      </x:c>
      <x:c r="B1831" s="20" t="n">
        <x:v>0.04</x:v>
      </x:c>
    </x:row>
    <x:row r="1832">
      <x:c r="A1832" s="17" t="n">
        <x:v>44899</x:v>
      </x:c>
      <x:c r="B1832" s="20" t="n">
        <x:v>0.04</x:v>
      </x:c>
    </x:row>
    <x:row r="1833">
      <x:c r="A1833" s="17" t="n">
        <x:v>44900</x:v>
      </x:c>
      <x:c r="B1833" s="20" t="n">
        <x:v>0.04</x:v>
      </x:c>
    </x:row>
    <x:row r="1834">
      <x:c r="A1834" s="17" t="n">
        <x:v>44901</x:v>
      </x:c>
      <x:c r="B1834" s="20" t="n">
        <x:v>0.04</x:v>
      </x:c>
    </x:row>
    <x:row r="1835">
      <x:c r="A1835" s="17" t="n">
        <x:v>44902</x:v>
      </x:c>
      <x:c r="B1835" s="20" t="n">
        <x:v>0.04</x:v>
      </x:c>
    </x:row>
    <x:row r="1836">
      <x:c r="A1836" s="17" t="n">
        <x:v>44903</x:v>
      </x:c>
      <x:c r="B1836" s="20" t="n">
        <x:v>0.04</x:v>
      </x:c>
    </x:row>
    <x:row r="1837">
      <x:c r="A1837" s="17" t="n">
        <x:v>44904</x:v>
      </x:c>
      <x:c r="B1837" s="20" t="n">
        <x:v>0.04</x:v>
      </x:c>
    </x:row>
    <x:row r="1838">
      <x:c r="A1838" s="17" t="n">
        <x:v>44905</x:v>
      </x:c>
      <x:c r="B1838" s="20" t="n">
        <x:v>0.04</x:v>
      </x:c>
    </x:row>
    <x:row r="1839">
      <x:c r="A1839" s="17" t="n">
        <x:v>44906</x:v>
      </x:c>
      <x:c r="B1839" s="20" t="n">
        <x:v>0.04</x:v>
      </x:c>
    </x:row>
    <x:row r="1840">
      <x:c r="A1840" s="17" t="n">
        <x:v>44907</x:v>
      </x:c>
      <x:c r="B1840" s="20" t="n">
        <x:v>0.04</x:v>
      </x:c>
    </x:row>
    <x:row r="1841">
      <x:c r="A1841" s="17" t="n">
        <x:v>44908</x:v>
      </x:c>
      <x:c r="B1841" s="20" t="n">
        <x:v>0.04</x:v>
      </x:c>
    </x:row>
    <x:row r="1842">
      <x:c r="A1842" s="17" t="n">
        <x:v>44909</x:v>
      </x:c>
      <x:c r="B1842" s="20" t="n">
        <x:v>0.04</x:v>
      </x:c>
    </x:row>
    <x:row r="1843">
      <x:c r="A1843" s="17" t="n">
        <x:v>44910</x:v>
      </x:c>
      <x:c r="B1843" s="20" t="n">
        <x:v>0.045</x:v>
      </x:c>
    </x:row>
    <x:row r="1844">
      <x:c r="A1844" s="17" t="n">
        <x:v>44911</x:v>
      </x:c>
      <x:c r="B1844" s="20" t="n">
        <x:v>0.045</x:v>
      </x:c>
    </x:row>
    <x:row r="1845">
      <x:c r="A1845" s="17" t="n">
        <x:v>44912</x:v>
      </x:c>
      <x:c r="B1845" s="20" t="n">
        <x:v>0.045</x:v>
      </x:c>
    </x:row>
    <x:row r="1846">
      <x:c r="A1846" s="17" t="n">
        <x:v>44913</x:v>
      </x:c>
      <x:c r="B1846" s="20" t="n">
        <x:v>0.045</x:v>
      </x:c>
    </x:row>
    <x:row r="1847">
      <x:c r="A1847" s="17" t="n">
        <x:v>44914</x:v>
      </x:c>
      <x:c r="B1847" s="20" t="n">
        <x:v>0.045</x:v>
      </x:c>
    </x:row>
    <x:row r="1848">
      <x:c r="A1848" s="17" t="n">
        <x:v>44915</x:v>
      </x:c>
      <x:c r="B1848" s="20" t="n">
        <x:v>0.045</x:v>
      </x:c>
    </x:row>
    <x:row r="1849">
      <x:c r="A1849" s="17" t="n">
        <x:v>44916</x:v>
      </x:c>
      <x:c r="B1849" s="20" t="n">
        <x:v>0.045</x:v>
      </x:c>
    </x:row>
    <x:row r="1850">
      <x:c r="A1850" s="17" t="n">
        <x:v>44917</x:v>
      </x:c>
      <x:c r="B1850" s="20" t="n">
        <x:v>0.045</x:v>
      </x:c>
    </x:row>
    <x:row r="1851">
      <x:c r="A1851" s="17" t="n">
        <x:v>44918</x:v>
      </x:c>
      <x:c r="B1851" s="20" t="n">
        <x:v>0.045</x:v>
      </x:c>
    </x:row>
    <x:row r="1852">
      <x:c r="A1852" s="17" t="n">
        <x:v>44919</x:v>
      </x:c>
      <x:c r="B1852" s="20" t="n">
        <x:v>0.045</x:v>
      </x:c>
    </x:row>
    <x:row r="1853">
      <x:c r="A1853" s="17" t="n">
        <x:v>44920</x:v>
      </x:c>
      <x:c r="B1853" s="20" t="n">
        <x:v>0.045</x:v>
      </x:c>
    </x:row>
    <x:row r="1854">
      <x:c r="A1854" s="17" t="n">
        <x:v>44921</x:v>
      </x:c>
      <x:c r="B1854" s="20" t="n">
        <x:v>0.045</x:v>
      </x:c>
    </x:row>
    <x:row r="1855">
      <x:c r="A1855" s="17" t="n">
        <x:v>44922</x:v>
      </x:c>
      <x:c r="B1855" s="20" t="n">
        <x:v>0.045</x:v>
      </x:c>
    </x:row>
    <x:row r="1856">
      <x:c r="A1856" s="17" t="n">
        <x:v>44923</x:v>
      </x:c>
      <x:c r="B1856" s="20" t="n">
        <x:v>0.045</x:v>
      </x:c>
    </x:row>
    <x:row r="1857">
      <x:c r="A1857" s="17" t="n">
        <x:v>44924</x:v>
      </x:c>
      <x:c r="B1857" s="20" t="n">
        <x:v>0.045</x:v>
      </x:c>
    </x:row>
    <x:row r="1858">
      <x:c r="A1858" s="17" t="n">
        <x:v>44925</x:v>
      </x:c>
      <x:c r="B1858" s="20" t="n">
        <x:v>0.045</x:v>
      </x:c>
    </x:row>
    <x:row r="1859">
      <x:c r="A1859" s="17" t="n">
        <x:v>44926</x:v>
      </x:c>
      <x:c r="B1859" s="20" t="n">
        <x:v>0.045</x:v>
      </x:c>
    </x:row>
    <x:row r="1860">
      <x:c r="A1860" s="17" t="n">
        <x:v>44927</x:v>
      </x:c>
      <x:c r="B1860" s="20" t="n">
        <x:v>0.045</x:v>
      </x:c>
    </x:row>
    <x:row r="1861">
      <x:c r="A1861" s="17" t="n">
        <x:v>44928</x:v>
      </x:c>
      <x:c r="B1861" s="20" t="n">
        <x:v>0.045</x:v>
      </x:c>
    </x:row>
    <x:row r="1862">
      <x:c r="A1862" s="17" t="n">
        <x:v>44929</x:v>
      </x:c>
      <x:c r="B1862" s="20" t="n">
        <x:v>0.045</x:v>
      </x:c>
    </x:row>
    <x:row r="1863">
      <x:c r="A1863" s="17" t="n">
        <x:v>44930</x:v>
      </x:c>
      <x:c r="B1863" s="20" t="n">
        <x:v>0.045</x:v>
      </x:c>
    </x:row>
    <x:row r="1864">
      <x:c r="A1864" s="17" t="n">
        <x:v>44931</x:v>
      </x:c>
      <x:c r="B1864" s="20" t="n">
        <x:v>0.045</x:v>
      </x:c>
    </x:row>
    <x:row r="1865">
      <x:c r="A1865" s="17" t="n">
        <x:v>44932</x:v>
      </x:c>
      <x:c r="B1865" s="20" t="n">
        <x:v>0.045</x:v>
      </x:c>
    </x:row>
    <x:row r="1866">
      <x:c r="A1866" s="17" t="n">
        <x:v>44933</x:v>
      </x:c>
      <x:c r="B1866" s="20" t="n">
        <x:v>0.045</x:v>
      </x:c>
    </x:row>
    <x:row r="1867">
      <x:c r="A1867" s="17" t="n">
        <x:v>44934</x:v>
      </x:c>
      <x:c r="B1867" s="20" t="n">
        <x:v>0.045</x:v>
      </x:c>
    </x:row>
    <x:row r="1868">
      <x:c r="A1868" s="17" t="n">
        <x:v>44935</x:v>
      </x:c>
      <x:c r="B1868" s="20" t="n">
        <x:v>0.045</x:v>
      </x:c>
    </x:row>
    <x:row r="1869">
      <x:c r="A1869" s="17" t="n">
        <x:v>44936</x:v>
      </x:c>
      <x:c r="B1869" s="20" t="n">
        <x:v>0.045</x:v>
      </x:c>
    </x:row>
    <x:row r="1870">
      <x:c r="A1870" s="17" t="n">
        <x:v>44937</x:v>
      </x:c>
      <x:c r="B1870" s="20" t="n">
        <x:v>0.045</x:v>
      </x:c>
    </x:row>
    <x:row r="1871">
      <x:c r="A1871" s="17" t="n">
        <x:v>44938</x:v>
      </x:c>
      <x:c r="B1871" s="20" t="n">
        <x:v>0.045</x:v>
      </x:c>
    </x:row>
    <x:row r="1872">
      <x:c r="A1872" s="17" t="n">
        <x:v>44939</x:v>
      </x:c>
      <x:c r="B1872" s="20" t="n">
        <x:v>0.045</x:v>
      </x:c>
    </x:row>
    <x:row r="1873">
      <x:c r="A1873" s="17" t="n">
        <x:v>44940</x:v>
      </x:c>
      <x:c r="B1873" s="20" t="n">
        <x:v>0.045</x:v>
      </x:c>
    </x:row>
    <x:row r="1874">
      <x:c r="A1874" s="17" t="n">
        <x:v>44941</x:v>
      </x:c>
      <x:c r="B1874" s="20" t="n">
        <x:v>0.045</x:v>
      </x:c>
    </x:row>
    <x:row r="1875">
      <x:c r="A1875" s="17" t="n">
        <x:v>44942</x:v>
      </x:c>
      <x:c r="B1875" s="20" t="n">
        <x:v>0.045</x:v>
      </x:c>
    </x:row>
    <x:row r="1876">
      <x:c r="A1876" s="17" t="n">
        <x:v>44943</x:v>
      </x:c>
      <x:c r="B1876" s="20" t="n">
        <x:v>0.045</x:v>
      </x:c>
    </x:row>
    <x:row r="1877">
      <x:c r="A1877" s="17" t="n">
        <x:v>44944</x:v>
      </x:c>
      <x:c r="B1877" s="20" t="n">
        <x:v>0.045</x:v>
      </x:c>
    </x:row>
    <x:row r="1878">
      <x:c r="A1878" s="17" t="n">
        <x:v>44945</x:v>
      </x:c>
      <x:c r="B1878" s="20" t="n">
        <x:v>0.045</x:v>
      </x:c>
    </x:row>
    <x:row r="1879">
      <x:c r="A1879" s="17" t="n">
        <x:v>44946</x:v>
      </x:c>
      <x:c r="B1879" s="20" t="n">
        <x:v>0.045</x:v>
      </x:c>
    </x:row>
    <x:row r="1880">
      <x:c r="A1880" s="17" t="n">
        <x:v>44947</x:v>
      </x:c>
      <x:c r="B1880" s="20" t="n">
        <x:v>0.045</x:v>
      </x:c>
    </x:row>
    <x:row r="1881">
      <x:c r="A1881" s="17" t="n">
        <x:v>44948</x:v>
      </x:c>
      <x:c r="B1881" s="20" t="n">
        <x:v>0.045</x:v>
      </x:c>
    </x:row>
    <x:row r="1882">
      <x:c r="A1882" s="17" t="n">
        <x:v>44949</x:v>
      </x:c>
      <x:c r="B1882" s="20" t="n">
        <x:v>0.045</x:v>
      </x:c>
    </x:row>
    <x:row r="1883">
      <x:c r="A1883" s="17" t="n">
        <x:v>44950</x:v>
      </x:c>
      <x:c r="B1883" s="20" t="n">
        <x:v>0.045</x:v>
      </x:c>
    </x:row>
    <x:row r="1884">
      <x:c r="A1884" s="17" t="n">
        <x:v>44951</x:v>
      </x:c>
      <x:c r="B1884" s="20" t="n">
        <x:v>0.045</x:v>
      </x:c>
    </x:row>
    <x:row r="1885">
      <x:c r="A1885" s="17" t="n">
        <x:v>44952</x:v>
      </x:c>
      <x:c r="B1885" s="20" t="n">
        <x:v>0.045</x:v>
      </x:c>
    </x:row>
    <x:row r="1886">
      <x:c r="A1886" s="17" t="n">
        <x:v>44953</x:v>
      </x:c>
      <x:c r="B1886" s="20" t="n">
        <x:v>0.045</x:v>
      </x:c>
    </x:row>
    <x:row r="1887">
      <x:c r="A1887" s="17" t="n">
        <x:v>44954</x:v>
      </x:c>
      <x:c r="B1887" s="20" t="n">
        <x:v>0.045</x:v>
      </x:c>
    </x:row>
    <x:row r="1888">
      <x:c r="A1888" s="17" t="n">
        <x:v>44955</x:v>
      </x:c>
      <x:c r="B1888" s="20" t="n">
        <x:v>0.045</x:v>
      </x:c>
    </x:row>
    <x:row r="1889">
      <x:c r="A1889" s="17" t="n">
        <x:v>44956</x:v>
      </x:c>
      <x:c r="B1889" s="20" t="n">
        <x:v>0.045</x:v>
      </x:c>
    </x:row>
    <x:row r="1890">
      <x:c r="A1890" s="17" t="n">
        <x:v>44957</x:v>
      </x:c>
      <x:c r="B1890" s="20" t="n">
        <x:v>0.045</x:v>
      </x:c>
    </x:row>
    <x:row r="1891">
      <x:c r="A1891" s="17" t="n">
        <x:v>44958</x:v>
      </x:c>
      <x:c r="B1891" s="20" t="n">
        <x:v>0.045</x:v>
      </x:c>
    </x:row>
    <x:row r="1892">
      <x:c r="A1892" s="17" t="n">
        <x:v>44959</x:v>
      </x:c>
      <x:c r="B1892" s="20" t="n">
        <x:v>0.0475</x:v>
      </x:c>
    </x:row>
    <x:row r="1893">
      <x:c r="A1893" s="17" t="n">
        <x:v>44960</x:v>
      </x:c>
      <x:c r="B1893" s="20" t="n">
        <x:v>0.0475</x:v>
      </x:c>
    </x:row>
    <x:row r="1894">
      <x:c r="A1894" s="17" t="n">
        <x:v>44961</x:v>
      </x:c>
      <x:c r="B1894" s="20" t="n">
        <x:v>0.0475</x:v>
      </x:c>
    </x:row>
    <x:row r="1895">
      <x:c r="A1895" s="17" t="n">
        <x:v>44962</x:v>
      </x:c>
      <x:c r="B1895" s="20" t="n">
        <x:v>0.0475</x:v>
      </x:c>
    </x:row>
    <x:row r="1896">
      <x:c r="A1896" s="17" t="n">
        <x:v>44963</x:v>
      </x:c>
      <x:c r="B1896" s="20" t="n">
        <x:v>0.0475</x:v>
      </x:c>
    </x:row>
    <x:row r="1897">
      <x:c r="A1897" s="17" t="n">
        <x:v>44964</x:v>
      </x:c>
      <x:c r="B1897" s="20" t="n">
        <x:v>0.0475</x:v>
      </x:c>
    </x:row>
    <x:row r="1898">
      <x:c r="A1898" s="17" t="n">
        <x:v>44965</x:v>
      </x:c>
      <x:c r="B1898" s="20" t="n">
        <x:v>0.0475</x:v>
      </x:c>
    </x:row>
    <x:row r="1899">
      <x:c r="A1899" s="17" t="n">
        <x:v>44966</x:v>
      </x:c>
      <x:c r="B1899" s="20" t="n">
        <x:v>0.0475</x:v>
      </x:c>
    </x:row>
    <x:row r="1900">
      <x:c r="A1900" s="17" t="n">
        <x:v>44967</x:v>
      </x:c>
      <x:c r="B1900" s="20" t="n">
        <x:v>0.0475</x:v>
      </x:c>
    </x:row>
    <x:row r="1901">
      <x:c r="A1901" s="17" t="n">
        <x:v>44968</x:v>
      </x:c>
      <x:c r="B1901" s="20" t="n">
        <x:v>0.0475</x:v>
      </x:c>
    </x:row>
    <x:row r="1902">
      <x:c r="A1902" s="17" t="n">
        <x:v>44969</x:v>
      </x:c>
      <x:c r="B1902" s="20" t="n">
        <x:v>0.0475</x:v>
      </x:c>
    </x:row>
    <x:row r="1903">
      <x:c r="A1903" s="17" t="n">
        <x:v>44970</x:v>
      </x:c>
      <x:c r="B1903" s="20" t="n">
        <x:v>0.0475</x:v>
      </x:c>
    </x:row>
    <x:row r="1904">
      <x:c r="A1904" s="17" t="n">
        <x:v>44971</x:v>
      </x:c>
      <x:c r="B1904" s="20" t="n">
        <x:v>0.0475</x:v>
      </x:c>
    </x:row>
    <x:row r="1905">
      <x:c r="A1905" s="17" t="n">
        <x:v>44972</x:v>
      </x:c>
      <x:c r="B1905" s="20" t="n">
        <x:v>0.0475</x:v>
      </x:c>
    </x:row>
    <x:row r="1906">
      <x:c r="A1906" s="17" t="n">
        <x:v>44973</x:v>
      </x:c>
      <x:c r="B1906" s="20" t="n">
        <x:v>0.0475</x:v>
      </x:c>
    </x:row>
    <x:row r="1907">
      <x:c r="A1907" s="17" t="n">
        <x:v>44974</x:v>
      </x:c>
      <x:c r="B1907" s="20" t="n">
        <x:v>0.0475</x:v>
      </x:c>
    </x:row>
    <x:row r="1908">
      <x:c r="A1908" s="17" t="n">
        <x:v>44975</x:v>
      </x:c>
      <x:c r="B1908" s="20" t="n">
        <x:v>0.0475</x:v>
      </x:c>
    </x:row>
    <x:row r="1909">
      <x:c r="A1909" s="17" t="n">
        <x:v>44976</x:v>
      </x:c>
      <x:c r="B1909" s="20" t="n">
        <x:v>0.0475</x:v>
      </x:c>
    </x:row>
    <x:row r="1910">
      <x:c r="A1910" s="17" t="n">
        <x:v>44977</x:v>
      </x:c>
      <x:c r="B1910" s="20" t="n">
        <x:v>0.0475</x:v>
      </x:c>
    </x:row>
    <x:row r="1911">
      <x:c r="A1911" s="17" t="n">
        <x:v>44978</x:v>
      </x:c>
      <x:c r="B1911" s="20" t="n">
        <x:v>0.0475</x:v>
      </x:c>
    </x:row>
    <x:row r="1912">
      <x:c r="A1912" s="17" t="n">
        <x:v>44979</x:v>
      </x:c>
      <x:c r="B1912" s="20" t="n">
        <x:v>0.0475</x:v>
      </x:c>
    </x:row>
    <x:row r="1913">
      <x:c r="A1913" s="17" t="n">
        <x:v>44980</x:v>
      </x:c>
      <x:c r="B1913" s="20" t="n">
        <x:v>0.0475</x:v>
      </x:c>
    </x:row>
    <x:row r="1914">
      <x:c r="A1914" s="17" t="n">
        <x:v>44981</x:v>
      </x:c>
      <x:c r="B1914" s="20" t="n">
        <x:v>0.0475</x:v>
      </x:c>
    </x:row>
    <x:row r="1915">
      <x:c r="A1915" s="17" t="n">
        <x:v>44982</x:v>
      </x:c>
      <x:c r="B1915" s="20" t="n">
        <x:v>0.0475</x:v>
      </x:c>
    </x:row>
    <x:row r="1916">
      <x:c r="A1916" s="17" t="n">
        <x:v>44983</x:v>
      </x:c>
      <x:c r="B1916" s="20" t="n">
        <x:v>0.0475</x:v>
      </x:c>
    </x:row>
    <x:row r="1917">
      <x:c r="A1917" s="17" t="n">
        <x:v>44984</x:v>
      </x:c>
      <x:c r="B1917" s="20" t="n">
        <x:v>0.0475</x:v>
      </x:c>
    </x:row>
    <x:row r="1918">
      <x:c r="A1918" s="17" t="n">
        <x:v>44985</x:v>
      </x:c>
      <x:c r="B1918" s="20" t="n">
        <x:v>0.0475</x:v>
      </x:c>
    </x:row>
    <x:row r="1919">
      <x:c r="A1919" s="17" t="n">
        <x:v>44986</x:v>
      </x:c>
      <x:c r="B1919" s="20" t="n">
        <x:v>0.0475</x:v>
      </x:c>
    </x:row>
    <x:row r="1920">
      <x:c r="A1920" s="17" t="n">
        <x:v>44987</x:v>
      </x:c>
      <x:c r="B1920" s="20" t="n">
        <x:v>0.0475</x:v>
      </x:c>
    </x:row>
    <x:row r="1921">
      <x:c r="A1921" s="17" t="n">
        <x:v>44988</x:v>
      </x:c>
      <x:c r="B1921" s="20" t="n">
        <x:v>0.0475</x:v>
      </x:c>
    </x:row>
    <x:row r="1922">
      <x:c r="A1922" s="17" t="n">
        <x:v>44989</x:v>
      </x:c>
      <x:c r="B1922" s="20" t="n">
        <x:v>0.0475</x:v>
      </x:c>
    </x:row>
    <x:row r="1923">
      <x:c r="A1923" s="17" t="n">
        <x:v>44990</x:v>
      </x:c>
      <x:c r="B1923" s="20" t="n">
        <x:v>0.0475</x:v>
      </x:c>
    </x:row>
    <x:row r="1924">
      <x:c r="A1924" s="17" t="n">
        <x:v>44991</x:v>
      </x:c>
      <x:c r="B1924" s="20" t="n">
        <x:v>0.0475</x:v>
      </x:c>
    </x:row>
    <x:row r="1925">
      <x:c r="A1925" s="17" t="n">
        <x:v>44992</x:v>
      </x:c>
      <x:c r="B1925" s="20" t="n">
        <x:v>0.0475</x:v>
      </x:c>
    </x:row>
    <x:row r="1926">
      <x:c r="A1926" s="17" t="n">
        <x:v>44993</x:v>
      </x:c>
      <x:c r="B1926" s="20" t="n">
        <x:v>0.0475</x:v>
      </x:c>
    </x:row>
    <x:row r="1927">
      <x:c r="A1927" s="17" t="n">
        <x:v>44994</x:v>
      </x:c>
      <x:c r="B1927" s="20" t="n">
        <x:v>0.0475</x:v>
      </x:c>
    </x:row>
    <x:row r="1928">
      <x:c r="A1928" s="17" t="n">
        <x:v>44995</x:v>
      </x:c>
      <x:c r="B1928" s="20" t="n">
        <x:v>0.0475</x:v>
      </x:c>
    </x:row>
    <x:row r="1929">
      <x:c r="A1929" s="17" t="n">
        <x:v>44996</x:v>
      </x:c>
      <x:c r="B1929" s="20" t="n">
        <x:v>0.0475</x:v>
      </x:c>
    </x:row>
    <x:row r="1930">
      <x:c r="A1930" s="17" t="n">
        <x:v>44997</x:v>
      </x:c>
      <x:c r="B1930" s="20" t="n">
        <x:v>0.0475</x:v>
      </x:c>
    </x:row>
    <x:row r="1931">
      <x:c r="A1931" s="17" t="n">
        <x:v>44998</x:v>
      </x:c>
      <x:c r="B1931" s="20" t="n">
        <x:v>0.0475</x:v>
      </x:c>
    </x:row>
    <x:row r="1932">
      <x:c r="A1932" s="17" t="n">
        <x:v>44999</x:v>
      </x:c>
      <x:c r="B1932" s="20" t="n">
        <x:v>0.0475</x:v>
      </x:c>
    </x:row>
    <x:row r="1933">
      <x:c r="A1933" s="17" t="n">
        <x:v>45000</x:v>
      </x:c>
      <x:c r="B1933" s="20" t="n">
        <x:v>0.0475</x:v>
      </x:c>
    </x:row>
    <x:row r="1934">
      <x:c r="A1934" s="17" t="n">
        <x:v>45001</x:v>
      </x:c>
      <x:c r="B1934" s="20" t="n">
        <x:v>0.0475</x:v>
      </x:c>
    </x:row>
    <x:row r="1935">
      <x:c r="A1935" s="17" t="n">
        <x:v>45002</x:v>
      </x:c>
      <x:c r="B1935" s="20" t="n">
        <x:v>0.0475</x:v>
      </x:c>
    </x:row>
    <x:row r="1936">
      <x:c r="A1936" s="17" t="n">
        <x:v>45003</x:v>
      </x:c>
      <x:c r="B1936" s="20" t="n">
        <x:v>0.0475</x:v>
      </x:c>
    </x:row>
    <x:row r="1937">
      <x:c r="A1937" s="17" t="n">
        <x:v>45004</x:v>
      </x:c>
      <x:c r="B1937" s="20" t="n">
        <x:v>0.0475</x:v>
      </x:c>
    </x:row>
    <x:row r="1938">
      <x:c r="A1938" s="17" t="n">
        <x:v>45005</x:v>
      </x:c>
      <x:c r="B1938" s="20" t="n">
        <x:v>0.0475</x:v>
      </x:c>
    </x:row>
    <x:row r="1939">
      <x:c r="A1939" s="17" t="n">
        <x:v>45006</x:v>
      </x:c>
      <x:c r="B1939" s="20" t="n">
        <x:v>0.0475</x:v>
      </x:c>
    </x:row>
    <x:row r="1940">
      <x:c r="A1940" s="17" t="n">
        <x:v>45007</x:v>
      </x:c>
      <x:c r="B1940" s="20" t="n">
        <x:v>0.0475</x:v>
      </x:c>
    </x:row>
    <x:row r="1941">
      <x:c r="A1941" s="17" t="n">
        <x:v>45008</x:v>
      </x:c>
      <x:c r="B1941" s="20" t="n">
        <x:v>0.05</x:v>
      </x:c>
    </x:row>
    <x:row r="1942">
      <x:c r="A1942" s="17" t="n">
        <x:v>45009</x:v>
      </x:c>
      <x:c r="B1942" s="20" t="n">
        <x:v>0.05</x:v>
      </x:c>
    </x:row>
    <x:row r="1943">
      <x:c r="A1943" s="17" t="n">
        <x:v>45010</x:v>
      </x:c>
      <x:c r="B1943" s="20" t="n">
        <x:v>0.05</x:v>
      </x:c>
    </x:row>
    <x:row r="1944">
      <x:c r="A1944" s="17" t="n">
        <x:v>45011</x:v>
      </x:c>
      <x:c r="B1944" s="20" t="n">
        <x:v>0.05</x:v>
      </x:c>
    </x:row>
    <x:row r="1945">
      <x:c r="A1945" s="17" t="n">
        <x:v>45012</x:v>
      </x:c>
      <x:c r="B1945" s="20" t="n">
        <x:v>0.05</x:v>
      </x:c>
    </x:row>
    <x:row r="1946">
      <x:c r="A1946" s="17" t="n">
        <x:v>45013</x:v>
      </x:c>
      <x:c r="B1946" s="20" t="n">
        <x:v>0.05</x:v>
      </x:c>
    </x:row>
    <x:row r="1947">
      <x:c r="A1947" s="17" t="n">
        <x:v>45014</x:v>
      </x:c>
      <x:c r="B1947" s="20" t="n">
        <x:v>0.05</x:v>
      </x:c>
    </x:row>
    <x:row r="1948">
      <x:c r="A1948" s="17" t="n">
        <x:v>45015</x:v>
      </x:c>
      <x:c r="B1948" s="20" t="n">
        <x:v>0.05</x:v>
      </x:c>
    </x:row>
    <x:row r="1949">
      <x:c r="A1949" s="17" t="n">
        <x:v>45016</x:v>
      </x:c>
      <x:c r="B1949" s="20" t="n">
        <x:v>0.05</x:v>
      </x:c>
    </x:row>
    <x:row r="1950">
      <x:c r="A1950" s="17" t="n">
        <x:v>45017</x:v>
      </x:c>
      <x:c r="B1950" s="20" t="n">
        <x:v>0.05</x:v>
      </x:c>
    </x:row>
    <x:row r="1951">
      <x:c r="A1951" s="17" t="n">
        <x:v>45018</x:v>
      </x:c>
      <x:c r="B1951" s="20" t="n">
        <x:v>0.05</x:v>
      </x:c>
    </x:row>
    <x:row r="1952">
      <x:c r="A1952" s="17" t="n">
        <x:v>45019</x:v>
      </x:c>
      <x:c r="B1952" s="20" t="n">
        <x:v>0.05</x:v>
      </x:c>
    </x:row>
    <x:row r="1953">
      <x:c r="A1953" s="17" t="n">
        <x:v>45020</x:v>
      </x:c>
      <x:c r="B1953" s="20" t="n">
        <x:v>0.05</x:v>
      </x:c>
    </x:row>
    <x:row r="1954">
      <x:c r="A1954" s="17" t="n">
        <x:v>45021</x:v>
      </x:c>
      <x:c r="B1954" s="20" t="n">
        <x:v>0.05</x:v>
      </x:c>
    </x:row>
    <x:row r="1955">
      <x:c r="A1955" s="17" t="n">
        <x:v>45022</x:v>
      </x:c>
      <x:c r="B1955" s="20" t="n">
        <x:v>0.05</x:v>
      </x:c>
    </x:row>
    <x:row r="1956">
      <x:c r="A1956" s="17" t="n">
        <x:v>45023</x:v>
      </x:c>
      <x:c r="B1956" s="20" t="n">
        <x:v>0.05</x:v>
      </x:c>
    </x:row>
    <x:row r="1957">
      <x:c r="A1957" s="17" t="n">
        <x:v>45024</x:v>
      </x:c>
      <x:c r="B1957" s="20" t="n">
        <x:v>0.05</x:v>
      </x:c>
    </x:row>
    <x:row r="1958">
      <x:c r="A1958" s="17" t="n">
        <x:v>45025</x:v>
      </x:c>
      <x:c r="B1958" s="20" t="n">
        <x:v>0.05</x:v>
      </x:c>
    </x:row>
    <x:row r="1959">
      <x:c r="A1959" s="17" t="n">
        <x:v>45026</x:v>
      </x:c>
      <x:c r="B1959" s="20" t="n">
        <x:v>0.05</x:v>
      </x:c>
    </x:row>
    <x:row r="1960">
      <x:c r="A1960" s="17" t="n">
        <x:v>45027</x:v>
      </x:c>
      <x:c r="B1960" s="20" t="n">
        <x:v>0.05</x:v>
      </x:c>
    </x:row>
    <x:row r="1961">
      <x:c r="A1961" s="17" t="n">
        <x:v>45028</x:v>
      </x:c>
      <x:c r="B1961" s="20" t="n">
        <x:v>0.05</x:v>
      </x:c>
    </x:row>
    <x:row r="1962">
      <x:c r="A1962" s="17" t="n">
        <x:v>45029</x:v>
      </x:c>
      <x:c r="B1962" s="20" t="n">
        <x:v>0.05</x:v>
      </x:c>
    </x:row>
    <x:row r="1963">
      <x:c r="A1963" s="17" t="n">
        <x:v>45030</x:v>
      </x:c>
      <x:c r="B1963" s="20" t="n">
        <x:v>0.05</x:v>
      </x:c>
    </x:row>
    <x:row r="1964">
      <x:c r="A1964" s="17" t="n">
        <x:v>45031</x:v>
      </x:c>
      <x:c r="B1964" s="20" t="n">
        <x:v>0.05</x:v>
      </x:c>
    </x:row>
    <x:row r="1965">
      <x:c r="A1965" s="17" t="n">
        <x:v>45032</x:v>
      </x:c>
      <x:c r="B1965" s="20" t="n">
        <x:v>0.05</x:v>
      </x:c>
    </x:row>
    <x:row r="1966">
      <x:c r="A1966" s="17" t="n">
        <x:v>45033</x:v>
      </x:c>
      <x:c r="B1966" s="20" t="n">
        <x:v>0.05</x:v>
      </x:c>
    </x:row>
    <x:row r="1967">
      <x:c r="A1967" s="17" t="n">
        <x:v>45034</x:v>
      </x:c>
      <x:c r="B1967" s="20" t="n">
        <x:v>0.05</x:v>
      </x:c>
    </x:row>
    <x:row r="1968">
      <x:c r="A1968" s="17" t="n">
        <x:v>45035</x:v>
      </x:c>
      <x:c r="B1968" s="20" t="n">
        <x:v>0.05</x:v>
      </x:c>
    </x:row>
    <x:row r="1969">
      <x:c r="A1969" s="17" t="n">
        <x:v>45036</x:v>
      </x:c>
      <x:c r="B1969" s="20" t="n">
        <x:v>0.05</x:v>
      </x:c>
    </x:row>
    <x:row r="1970">
      <x:c r="A1970" s="17" t="n">
        <x:v>45037</x:v>
      </x:c>
      <x:c r="B1970" s="20" t="n">
        <x:v>0.05</x:v>
      </x:c>
    </x:row>
    <x:row r="1971">
      <x:c r="A1971" s="17" t="n">
        <x:v>45038</x:v>
      </x:c>
      <x:c r="B1971" s="20" t="n">
        <x:v>0.05</x:v>
      </x:c>
    </x:row>
    <x:row r="1972">
      <x:c r="A1972" s="17" t="n">
        <x:v>45039</x:v>
      </x:c>
      <x:c r="B1972" s="20" t="n">
        <x:v>0.05</x:v>
      </x:c>
    </x:row>
    <x:row r="1973">
      <x:c r="A1973" s="17" t="n">
        <x:v>45040</x:v>
      </x:c>
      <x:c r="B1973" s="20" t="n">
        <x:v>0.05</x:v>
      </x:c>
    </x:row>
    <x:row r="1974">
      <x:c r="A1974" s="17" t="n">
        <x:v>45041</x:v>
      </x:c>
      <x:c r="B1974" s="20" t="n">
        <x:v>0.05</x:v>
      </x:c>
    </x:row>
    <x:row r="1975">
      <x:c r="A1975" s="17" t="n">
        <x:v>45042</x:v>
      </x:c>
      <x:c r="B1975" s="20" t="n">
        <x:v>0.05</x:v>
      </x:c>
    </x:row>
    <x:row r="1976">
      <x:c r="A1976" s="17" t="n">
        <x:v>45043</x:v>
      </x:c>
      <x:c r="B1976" s="20" t="n">
        <x:v>0.05</x:v>
      </x:c>
    </x:row>
    <x:row r="1977">
      <x:c r="A1977" s="17" t="n">
        <x:v>45044</x:v>
      </x:c>
      <x:c r="B1977" s="20" t="n">
        <x:v>0.05</x:v>
      </x:c>
    </x:row>
    <x:row r="1978">
      <x:c r="A1978" s="17" t="n">
        <x:v>45045</x:v>
      </x:c>
      <x:c r="B1978" s="20" t="n">
        <x:v>0.05</x:v>
      </x:c>
    </x:row>
    <x:row r="1979">
      <x:c r="A1979" s="17" t="n">
        <x:v>45046</x:v>
      </x:c>
      <x:c r="B1979" s="20" t="n">
        <x:v>0.05</x:v>
      </x:c>
    </x:row>
    <x:row r="1980">
      <x:c r="A1980" s="17" t="n">
        <x:v>45047</x:v>
      </x:c>
      <x:c r="B1980" s="20" t="n">
        <x:v>0.05</x:v>
      </x:c>
    </x:row>
    <x:row r="1981">
      <x:c r="A1981" s="17" t="n">
        <x:v>45048</x:v>
      </x:c>
      <x:c r="B1981" s="20" t="n">
        <x:v>0.05</x:v>
      </x:c>
    </x:row>
    <x:row r="1982">
      <x:c r="A1982" s="17" t="n">
        <x:v>45049</x:v>
      </x:c>
      <x:c r="B1982" s="20" t="n">
        <x:v>0.05</x:v>
      </x:c>
    </x:row>
    <x:row r="1983">
      <x:c r="A1983" s="17" t="n">
        <x:v>45050</x:v>
      </x:c>
      <x:c r="B1983" s="20" t="n">
        <x:v>0.0525</x:v>
      </x:c>
    </x:row>
    <x:row r="1984">
      <x:c r="A1984" s="17" t="n">
        <x:v>45051</x:v>
      </x:c>
      <x:c r="B1984" s="20" t="n">
        <x:v>0.0525</x:v>
      </x:c>
    </x:row>
    <x:row r="1985">
      <x:c r="A1985" s="17" t="n">
        <x:v>45052</x:v>
      </x:c>
      <x:c r="B1985" s="20" t="n">
        <x:v>0.0525</x:v>
      </x:c>
    </x:row>
    <x:row r="1986">
      <x:c r="A1986" s="17" t="n">
        <x:v>45053</x:v>
      </x:c>
      <x:c r="B1986" s="20" t="n">
        <x:v>0.0525</x:v>
      </x:c>
    </x:row>
    <x:row r="1987">
      <x:c r="A1987" s="17" t="n">
        <x:v>45054</x:v>
      </x:c>
      <x:c r="B1987" s="20" t="n">
        <x:v>0.0525</x:v>
      </x:c>
    </x:row>
    <x:row r="1988">
      <x:c r="A1988" s="17" t="n">
        <x:v>45055</x:v>
      </x:c>
      <x:c r="B1988" s="20" t="n">
        <x:v>0.0525</x:v>
      </x:c>
    </x:row>
    <x:row r="1989">
      <x:c r="A1989" s="17" t="n">
        <x:v>45056</x:v>
      </x:c>
      <x:c r="B1989" s="20" t="n">
        <x:v>0.0525</x:v>
      </x:c>
    </x:row>
    <x:row r="1990">
      <x:c r="A1990" s="17" t="n">
        <x:v>45057</x:v>
      </x:c>
      <x:c r="B1990" s="20" t="n">
        <x:v>0.0525</x:v>
      </x:c>
    </x:row>
    <x:row r="1991">
      <x:c r="A1991" s="17" t="n">
        <x:v>45058</x:v>
      </x:c>
      <x:c r="B1991" s="20" t="n">
        <x:v>0.0525</x:v>
      </x:c>
    </x:row>
    <x:row r="1992">
      <x:c r="A1992" s="17" t="n">
        <x:v>45059</x:v>
      </x:c>
      <x:c r="B1992" s="20" t="n">
        <x:v>0.0525</x:v>
      </x:c>
    </x:row>
    <x:row r="1993">
      <x:c r="A1993" s="17" t="n">
        <x:v>45060</x:v>
      </x:c>
      <x:c r="B1993" s="20" t="n">
        <x:v>0.0525</x:v>
      </x:c>
    </x:row>
    <x:row r="1994">
      <x:c r="A1994" s="17" t="n">
        <x:v>45061</x:v>
      </x:c>
      <x:c r="B1994" s="20" t="n">
        <x:v>0.0525</x:v>
      </x:c>
    </x:row>
    <x:row r="1995">
      <x:c r="A1995" s="17" t="n">
        <x:v>45062</x:v>
      </x:c>
      <x:c r="B1995" s="20" t="n">
        <x:v>0.0525</x:v>
      </x:c>
    </x:row>
    <x:row r="1996">
      <x:c r="A1996" s="17" t="n">
        <x:v>45063</x:v>
      </x:c>
      <x:c r="B1996" s="20" t="n">
        <x:v>0.0525</x:v>
      </x:c>
    </x:row>
    <x:row r="1997">
      <x:c r="A1997" s="17" t="n">
        <x:v>45064</x:v>
      </x:c>
      <x:c r="B1997" s="20" t="n">
        <x:v>0.0525</x:v>
      </x:c>
    </x:row>
    <x:row r="1998">
      <x:c r="A1998" s="17" t="n">
        <x:v>45065</x:v>
      </x:c>
      <x:c r="B1998" s="20" t="n">
        <x:v>0.0525</x:v>
      </x:c>
    </x:row>
    <x:row r="1999">
      <x:c r="A1999" s="17" t="n">
        <x:v>45066</x:v>
      </x:c>
      <x:c r="B1999" s="20" t="n">
        <x:v>0.0525</x:v>
      </x:c>
    </x:row>
    <x:row r="2000">
      <x:c r="A2000" s="17" t="n">
        <x:v>45067</x:v>
      </x:c>
      <x:c r="B2000" s="20" t="n">
        <x:v>0.0525</x:v>
      </x:c>
    </x:row>
    <x:row r="2001">
      <x:c r="A2001" s="17" t="n">
        <x:v>45068</x:v>
      </x:c>
      <x:c r="B2001" s="20" t="n">
        <x:v>0.0525</x:v>
      </x:c>
    </x:row>
    <x:row r="2002">
      <x:c r="A2002" s="17" t="n">
        <x:v>45069</x:v>
      </x:c>
      <x:c r="B2002" s="20" t="n">
        <x:v>0.0525</x:v>
      </x:c>
    </x:row>
    <x:row r="2003">
      <x:c r="A2003" s="17" t="n">
        <x:v>45070</x:v>
      </x:c>
      <x:c r="B2003" s="20" t="n">
        <x:v>0.0525</x:v>
      </x:c>
    </x:row>
    <x:row r="2004">
      <x:c r="A2004" s="17" t="n">
        <x:v>45071</x:v>
      </x:c>
      <x:c r="B2004" s="20" t="n">
        <x:v>0.0525</x:v>
      </x:c>
    </x:row>
    <x:row r="2005">
      <x:c r="A2005" s="17" t="n">
        <x:v>45072</x:v>
      </x:c>
      <x:c r="B2005" s="20" t="n">
        <x:v>0.0525</x:v>
      </x:c>
    </x:row>
    <x:row r="2006">
      <x:c r="A2006" s="17" t="n">
        <x:v>45073</x:v>
      </x:c>
      <x:c r="B2006" s="20" t="n">
        <x:v>0.0525</x:v>
      </x:c>
    </x:row>
    <x:row r="2007">
      <x:c r="A2007" s="17" t="n">
        <x:v>45074</x:v>
      </x:c>
      <x:c r="B2007" s="20" t="n">
        <x:v>0.0525</x:v>
      </x:c>
    </x:row>
    <x:row r="2008">
      <x:c r="A2008" s="17" t="n">
        <x:v>45075</x:v>
      </x:c>
      <x:c r="B2008" s="20" t="n">
        <x:v>0.0525</x:v>
      </x:c>
    </x:row>
    <x:row r="2009">
      <x:c r="A2009" s="17" t="n">
        <x:v>45076</x:v>
      </x:c>
      <x:c r="B2009" s="20" t="n">
        <x:v>0.0525</x:v>
      </x:c>
    </x:row>
    <x:row r="2010">
      <x:c r="A2010" s="17" t="n">
        <x:v>45077</x:v>
      </x:c>
      <x:c r="B2010" s="20" t="n">
        <x:v>0.0525</x:v>
      </x:c>
    </x:row>
    <x:row r="2011">
      <x:c r="A2011" s="17" t="n">
        <x:v>45078</x:v>
      </x:c>
      <x:c r="B2011" s="20" t="n">
        <x:v>0.0525</x:v>
      </x:c>
    </x:row>
    <x:row r="2012">
      <x:c r="A2012" s="17" t="n">
        <x:v>45079</x:v>
      </x:c>
      <x:c r="B2012" s="20" t="n">
        <x:v>0.0525</x:v>
      </x:c>
    </x:row>
    <x:row r="2013">
      <x:c r="A2013" s="17" t="n">
        <x:v>45080</x:v>
      </x:c>
      <x:c r="B2013" s="20" t="n">
        <x:v>0.0525</x:v>
      </x:c>
    </x:row>
    <x:row r="2014">
      <x:c r="A2014" s="17" t="n">
        <x:v>45081</x:v>
      </x:c>
      <x:c r="B2014" s="20" t="n">
        <x:v>0.0525</x:v>
      </x:c>
    </x:row>
    <x:row r="2015">
      <x:c r="A2015" s="17" t="n">
        <x:v>45082</x:v>
      </x:c>
      <x:c r="B2015" s="20" t="n">
        <x:v>0.0525</x:v>
      </x:c>
    </x:row>
    <x:row r="2016">
      <x:c r="A2016" s="17" t="n">
        <x:v>45083</x:v>
      </x:c>
      <x:c r="B2016" s="20" t="n">
        <x:v>0.0525</x:v>
      </x:c>
    </x:row>
    <x:row r="2017">
      <x:c r="A2017" s="17" t="n">
        <x:v>45084</x:v>
      </x:c>
      <x:c r="B2017" s="20" t="n">
        <x:v>0.0525</x:v>
      </x:c>
    </x:row>
    <x:row r="2018">
      <x:c r="A2018" s="17" t="n">
        <x:v>45085</x:v>
      </x:c>
      <x:c r="B2018" s="20" t="n">
        <x:v>0.0525</x:v>
      </x:c>
    </x:row>
    <x:row r="2019">
      <x:c r="A2019" s="17" t="n">
        <x:v>45086</x:v>
      </x:c>
      <x:c r="B2019" s="20" t="n">
        <x:v>0.0525</x:v>
      </x:c>
    </x:row>
    <x:row r="2020">
      <x:c r="A2020" s="17" t="n">
        <x:v>45087</x:v>
      </x:c>
      <x:c r="B2020" s="20" t="n">
        <x:v>0.0525</x:v>
      </x:c>
    </x:row>
    <x:row r="2021">
      <x:c r="A2021" s="17" t="n">
        <x:v>45088</x:v>
      </x:c>
      <x:c r="B2021" s="20" t="n">
        <x:v>0.0525</x:v>
      </x:c>
    </x:row>
    <x:row r="2022">
      <x:c r="A2022" s="17" t="n">
        <x:v>45089</x:v>
      </x:c>
      <x:c r="B2022" s="20" t="n">
        <x:v>0.0525</x:v>
      </x:c>
    </x:row>
    <x:row r="2023">
      <x:c r="A2023" s="17" t="n">
        <x:v>45090</x:v>
      </x:c>
      <x:c r="B2023" s="20" t="n">
        <x:v>0.0525</x:v>
      </x:c>
    </x:row>
    <x:row r="2024">
      <x:c r="A2024" s="17" t="n">
        <x:v>45091</x:v>
      </x:c>
      <x:c r="B2024" s="20" t="n">
        <x:v>0.0525</x:v>
      </x:c>
    </x:row>
    <x:row r="2025">
      <x:c r="A2025" s="17" t="n">
        <x:v>45092</x:v>
      </x:c>
      <x:c r="B2025" s="20" t="n">
        <x:v>0.0525</x:v>
      </x:c>
    </x:row>
    <x:row r="2026">
      <x:c r="A2026" s="17" t="n">
        <x:v>45093</x:v>
      </x:c>
      <x:c r="B2026" s="20" t="n">
        <x:v>0.0525</x:v>
      </x:c>
    </x:row>
    <x:row r="2027">
      <x:c r="A2027" s="17" t="n">
        <x:v>45094</x:v>
      </x:c>
      <x:c r="B2027" s="20" t="n">
        <x:v>0.0525</x:v>
      </x:c>
    </x:row>
    <x:row r="2028">
      <x:c r="A2028" s="17" t="n">
        <x:v>45095</x:v>
      </x:c>
      <x:c r="B2028" s="20" t="n">
        <x:v>0.0525</x:v>
      </x:c>
    </x:row>
    <x:row r="2029">
      <x:c r="A2029" s="17" t="n">
        <x:v>45096</x:v>
      </x:c>
      <x:c r="B2029" s="20" t="n">
        <x:v>0.0525</x:v>
      </x:c>
    </x:row>
    <x:row r="2030">
      <x:c r="A2030" s="17" t="n">
        <x:v>45097</x:v>
      </x:c>
      <x:c r="B2030" s="20" t="n">
        <x:v>0.0525</x:v>
      </x:c>
    </x:row>
    <x:row r="2031">
      <x:c r="A2031" s="17" t="n">
        <x:v>45098</x:v>
      </x:c>
      <x:c r="B2031" s="20" t="n">
        <x:v>0.0525</x:v>
      </x:c>
    </x:row>
    <x:row r="2032">
      <x:c r="A2032" s="17" t="n">
        <x:v>45099</x:v>
      </x:c>
      <x:c r="B2032" s="20" t="n">
        <x:v>0.0525</x:v>
      </x:c>
    </x:row>
    <x:row r="2033">
      <x:c r="A2033" s="17" t="n">
        <x:v>45100</x:v>
      </x:c>
      <x:c r="B2033" s="20" t="n">
        <x:v>0.0525</x:v>
      </x:c>
    </x:row>
    <x:row r="2034">
      <x:c r="A2034" s="17" t="n">
        <x:v>45101</x:v>
      </x:c>
      <x:c r="B2034" s="20" t="n">
        <x:v>0.0525</x:v>
      </x:c>
    </x:row>
    <x:row r="2035">
      <x:c r="A2035" s="17" t="n">
        <x:v>45102</x:v>
      </x:c>
      <x:c r="B2035" s="20" t="n">
        <x:v>0.0525</x:v>
      </x:c>
    </x:row>
    <x:row r="2036">
      <x:c r="A2036" s="17" t="n">
        <x:v>45103</x:v>
      </x:c>
      <x:c r="B2036" s="20" t="n">
        <x:v>0.0525</x:v>
      </x:c>
    </x:row>
    <x:row r="2037">
      <x:c r="A2037" s="17" t="n">
        <x:v>45104</x:v>
      </x:c>
      <x:c r="B2037" s="20" t="n">
        <x:v>0.0525</x:v>
      </x:c>
    </x:row>
    <x:row r="2038">
      <x:c r="A2038" s="17" t="n">
        <x:v>45105</x:v>
      </x:c>
      <x:c r="B2038" s="20" t="n">
        <x:v>0.0525</x:v>
      </x:c>
    </x:row>
    <x:row r="2039">
      <x:c r="A2039" s="17" t="n">
        <x:v>45106</x:v>
      </x:c>
      <x:c r="B2039" s="20" t="n">
        <x:v>0.0525</x:v>
      </x:c>
    </x:row>
    <x:row r="2040">
      <x:c r="A2040" s="17" t="n">
        <x:v>45107</x:v>
      </x:c>
      <x:c r="B2040" s="20" t="n">
        <x:v>0.0525</x:v>
      </x:c>
    </x:row>
    <x:row r="2041">
      <x:c r="A2041" s="17" t="n">
        <x:v>45108</x:v>
      </x:c>
      <x:c r="B2041" s="20" t="n">
        <x:v>0.0525</x:v>
      </x:c>
    </x:row>
    <x:row r="2042">
      <x:c r="A2042" s="17" t="n">
        <x:v>45109</x:v>
      </x:c>
      <x:c r="B2042" s="20" t="n">
        <x:v>0.0525</x:v>
      </x:c>
    </x:row>
    <x:row r="2043">
      <x:c r="A2043" s="17" t="n">
        <x:v>45110</x:v>
      </x:c>
      <x:c r="B2043" s="20" t="n">
        <x:v>0.0525</x:v>
      </x:c>
    </x:row>
    <x:row r="2044">
      <x:c r="A2044" s="17" t="n">
        <x:v>45111</x:v>
      </x:c>
      <x:c r="B2044" s="20" t="n">
        <x:v>0.0525</x:v>
      </x:c>
    </x:row>
    <x:row r="2045">
      <x:c r="A2045" s="17" t="n">
        <x:v>45112</x:v>
      </x:c>
      <x:c r="B2045" s="20" t="n">
        <x:v>0.0525</x:v>
      </x:c>
    </x:row>
    <x:row r="2046">
      <x:c r="A2046" s="17" t="n">
        <x:v>45113</x:v>
      </x:c>
      <x:c r="B2046" s="20" t="n">
        <x:v>0.0525</x:v>
      </x:c>
    </x:row>
    <x:row r="2047">
      <x:c r="A2047" s="17" t="n">
        <x:v>45114</x:v>
      </x:c>
      <x:c r="B2047" s="20" t="n">
        <x:v>0.0525</x:v>
      </x:c>
    </x:row>
    <x:row r="2048">
      <x:c r="A2048" s="17" t="n">
        <x:v>45115</x:v>
      </x:c>
      <x:c r="B2048" s="20" t="n">
        <x:v>0.0525</x:v>
      </x:c>
    </x:row>
    <x:row r="2049">
      <x:c r="A2049" s="17" t="n">
        <x:v>45116</x:v>
      </x:c>
      <x:c r="B2049" s="20" t="n">
        <x:v>0.0525</x:v>
      </x:c>
    </x:row>
    <x:row r="2050">
      <x:c r="A2050" s="17" t="n">
        <x:v>45117</x:v>
      </x:c>
      <x:c r="B2050" s="20" t="n">
        <x:v>0.0525</x:v>
      </x:c>
    </x:row>
    <x:row r="2051">
      <x:c r="A2051" s="17" t="n">
        <x:v>45118</x:v>
      </x:c>
      <x:c r="B2051" s="20" t="n">
        <x:v>0.0525</x:v>
      </x:c>
    </x:row>
    <x:row r="2052">
      <x:c r="A2052" s="17" t="n">
        <x:v>45119</x:v>
      </x:c>
      <x:c r="B2052" s="20" t="n">
        <x:v>0.0525</x:v>
      </x:c>
    </x:row>
    <x:row r="2053">
      <x:c r="A2053" s="17" t="n">
        <x:v>45120</x:v>
      </x:c>
      <x:c r="B2053" s="20" t="n">
        <x:v>0.0525</x:v>
      </x:c>
    </x:row>
    <x:row r="2054">
      <x:c r="A2054" s="17" t="n">
        <x:v>45121</x:v>
      </x:c>
      <x:c r="B2054" s="20" t="n">
        <x:v>0.0525</x:v>
      </x:c>
    </x:row>
    <x:row r="2055">
      <x:c r="A2055" s="17" t="n">
        <x:v>45122</x:v>
      </x:c>
      <x:c r="B2055" s="20" t="n">
        <x:v>0.0525</x:v>
      </x:c>
    </x:row>
    <x:row r="2056">
      <x:c r="A2056" s="17" t="n">
        <x:v>45123</x:v>
      </x:c>
      <x:c r="B2056" s="20" t="n">
        <x:v>0.0525</x:v>
      </x:c>
    </x:row>
    <x:row r="2057">
      <x:c r="A2057" s="17" t="n">
        <x:v>45124</x:v>
      </x:c>
      <x:c r="B2057" s="20" t="n">
        <x:v>0.0525</x:v>
      </x:c>
    </x:row>
    <x:row r="2058">
      <x:c r="A2058" s="17" t="n">
        <x:v>45125</x:v>
      </x:c>
      <x:c r="B2058" s="20" t="n">
        <x:v>0.0525</x:v>
      </x:c>
    </x:row>
    <x:row r="2059">
      <x:c r="A2059" s="17" t="n">
        <x:v>45126</x:v>
      </x:c>
      <x:c r="B2059" s="20" t="n">
        <x:v>0.0525</x:v>
      </x:c>
    </x:row>
    <x:row r="2060">
      <x:c r="A2060" s="17" t="n">
        <x:v>45127</x:v>
      </x:c>
      <x:c r="B2060" s="20" t="n">
        <x:v>0.0525</x:v>
      </x:c>
    </x:row>
    <x:row r="2061">
      <x:c r="A2061" s="17" t="n">
        <x:v>45128</x:v>
      </x:c>
      <x:c r="B2061" s="20" t="n">
        <x:v>0.0525</x:v>
      </x:c>
    </x:row>
    <x:row r="2062">
      <x:c r="A2062" s="17" t="n">
        <x:v>45129</x:v>
      </x:c>
      <x:c r="B2062" s="20" t="n">
        <x:v>0.0525</x:v>
      </x:c>
    </x:row>
    <x:row r="2063">
      <x:c r="A2063" s="17" t="n">
        <x:v>45130</x:v>
      </x:c>
      <x:c r="B2063" s="20" t="n">
        <x:v>0.0525</x:v>
      </x:c>
    </x:row>
    <x:row r="2064">
      <x:c r="A2064" s="17" t="n">
        <x:v>45131</x:v>
      </x:c>
      <x:c r="B2064" s="20" t="n">
        <x:v>0.0525</x:v>
      </x:c>
    </x:row>
    <x:row r="2065">
      <x:c r="A2065" s="17" t="n">
        <x:v>45132</x:v>
      </x:c>
      <x:c r="B2065" s="20" t="n">
        <x:v>0.0525</x:v>
      </x:c>
    </x:row>
    <x:row r="2066">
      <x:c r="A2066" s="17" t="n">
        <x:v>45133</x:v>
      </x:c>
      <x:c r="B2066" s="20" t="n">
        <x:v>0.0525</x:v>
      </x:c>
    </x:row>
    <x:row r="2067">
      <x:c r="A2067" s="17" t="n">
        <x:v>45134</x:v>
      </x:c>
      <x:c r="B2067" s="20" t="n">
        <x:v>0.055</x:v>
      </x:c>
    </x:row>
    <x:row r="2068">
      <x:c r="A2068" s="17" t="n">
        <x:v>45135</x:v>
      </x:c>
      <x:c r="B2068" s="20" t="n">
        <x:v>0.055</x:v>
      </x:c>
    </x:row>
    <x:row r="2069">
      <x:c r="A2069" s="17" t="n">
        <x:v>45136</x:v>
      </x:c>
      <x:c r="B2069" s="20" t="n">
        <x:v>0.055</x:v>
      </x:c>
    </x:row>
    <x:row r="2070">
      <x:c r="A2070" s="17" t="n">
        <x:v>45137</x:v>
      </x:c>
      <x:c r="B2070" s="20" t="n">
        <x:v>0.055</x:v>
      </x:c>
    </x:row>
    <x:row r="2071">
      <x:c r="A2071" s="17" t="n">
        <x:v>45138</x:v>
      </x:c>
      <x:c r="B2071" s="20" t="n">
        <x:v>0.055</x:v>
      </x:c>
    </x:row>
    <x:row r="2072">
      <x:c r="A2072" s="17" t="n">
        <x:v>45139</x:v>
      </x:c>
      <x:c r="B2072" s="20" t="n">
        <x:v>0.055</x:v>
      </x:c>
    </x:row>
    <x:row r="2073">
      <x:c r="A2073" s="17" t="n">
        <x:v>45140</x:v>
      </x:c>
      <x:c r="B2073" s="20" t="n">
        <x:v>0.055</x:v>
      </x:c>
    </x:row>
    <x:row r="2074">
      <x:c r="A2074" s="17" t="n">
        <x:v>45141</x:v>
      </x:c>
      <x:c r="B2074" s="20" t="n">
        <x:v>0.055</x:v>
      </x:c>
    </x:row>
    <x:row r="2075">
      <x:c r="A2075" s="17" t="n">
        <x:v>45142</x:v>
      </x:c>
      <x:c r="B2075" s="20" t="n">
        <x:v>0.055</x:v>
      </x:c>
    </x:row>
    <x:row r="2076">
      <x:c r="A2076" s="17" t="n">
        <x:v>45143</x:v>
      </x:c>
      <x:c r="B2076" s="20" t="n">
        <x:v>0.055</x:v>
      </x:c>
    </x:row>
    <x:row r="2077">
      <x:c r="A2077" s="17" t="n">
        <x:v>45144</x:v>
      </x:c>
      <x:c r="B2077" s="20" t="n">
        <x:v>0.055</x:v>
      </x:c>
    </x:row>
    <x:row r="2078">
      <x:c r="A2078" s="17" t="n">
        <x:v>45145</x:v>
      </x:c>
      <x:c r="B2078" s="20" t="n">
        <x:v>0.055</x:v>
      </x:c>
    </x:row>
    <x:row r="2079">
      <x:c r="A2079" s="17" t="n">
        <x:v>45146</x:v>
      </x:c>
      <x:c r="B2079" s="20" t="n">
        <x:v>0.055</x:v>
      </x:c>
    </x:row>
    <x:row r="2080">
      <x:c r="A2080" s="17" t="n">
        <x:v>45147</x:v>
      </x:c>
      <x:c r="B2080" s="20" t="n">
        <x:v>0.055</x:v>
      </x:c>
    </x:row>
    <x:row r="2081">
      <x:c r="A2081" s="17" t="n">
        <x:v>45148</x:v>
      </x:c>
      <x:c r="B2081" s="20" t="n">
        <x:v>0.055</x:v>
      </x:c>
    </x:row>
    <x:row r="2082">
      <x:c r="A2082" s="17" t="n">
        <x:v>45149</x:v>
      </x:c>
      <x:c r="B2082" s="20" t="n">
        <x:v>0.055</x:v>
      </x:c>
    </x:row>
    <x:row r="2083">
      <x:c r="A2083" s="17" t="n">
        <x:v>45150</x:v>
      </x:c>
      <x:c r="B2083" s="20" t="n">
        <x:v>0.055</x:v>
      </x:c>
    </x:row>
    <x:row r="2084">
      <x:c r="A2084" s="17" t="n">
        <x:v>45151</x:v>
      </x:c>
      <x:c r="B2084" s="20" t="n">
        <x:v>0.055</x:v>
      </x:c>
    </x:row>
    <x:row r="2085">
      <x:c r="A2085" s="17" t="n">
        <x:v>45152</x:v>
      </x:c>
      <x:c r="B2085" s="20" t="n">
        <x:v>0.055</x:v>
      </x:c>
    </x:row>
    <x:row r="2086">
      <x:c r="A2086" s="17" t="n">
        <x:v>45153</x:v>
      </x:c>
      <x:c r="B2086" s="20" t="n">
        <x:v>0.055</x:v>
      </x:c>
    </x:row>
    <x:row r="2087">
      <x:c r="A2087" s="17" t="n">
        <x:v>45154</x:v>
      </x:c>
      <x:c r="B2087" s="20" t="n">
        <x:v>0.055</x:v>
      </x:c>
    </x:row>
    <x:row r="2088">
      <x:c r="A2088" s="17" t="n">
        <x:v>45155</x:v>
      </x:c>
      <x:c r="B2088" s="20" t="n">
        <x:v>0.055</x:v>
      </x:c>
    </x:row>
    <x:row r="2089">
      <x:c r="A2089" s="17" t="n">
        <x:v>45156</x:v>
      </x:c>
      <x:c r="B2089" s="20" t="n">
        <x:v>0.055</x:v>
      </x:c>
    </x:row>
    <x:row r="2090">
      <x:c r="A2090" s="17" t="n">
        <x:v>45157</x:v>
      </x:c>
      <x:c r="B2090" s="20" t="n">
        <x:v>0.055</x:v>
      </x:c>
    </x:row>
    <x:row r="2091">
      <x:c r="A2091" s="17" t="n">
        <x:v>45158</x:v>
      </x:c>
      <x:c r="B2091" s="20" t="n">
        <x:v>0.055</x:v>
      </x:c>
    </x:row>
    <x:row r="2092">
      <x:c r="A2092" s="17" t="n">
        <x:v>45159</x:v>
      </x:c>
      <x:c r="B2092" s="20" t="n">
        <x:v>0.055</x:v>
      </x:c>
    </x:row>
    <x:row r="2093">
      <x:c r="A2093" s="17" t="n">
        <x:v>45160</x:v>
      </x:c>
      <x:c r="B2093" s="20" t="n">
        <x:v>0.055</x:v>
      </x:c>
    </x:row>
    <x:row r="2094">
      <x:c r="A2094" s="17" t="n">
        <x:v>45161</x:v>
      </x:c>
      <x:c r="B2094" s="20" t="n">
        <x:v>0.055</x:v>
      </x:c>
    </x:row>
    <x:row r="2095">
      <x:c r="A2095" s="17" t="n">
        <x:v>45162</x:v>
      </x:c>
      <x:c r="B2095" s="20" t="n">
        <x:v>0.055</x:v>
      </x:c>
    </x:row>
    <x:row r="2096">
      <x:c r="A2096" s="17" t="n">
        <x:v>45163</x:v>
      </x:c>
      <x:c r="B2096" s="20" t="n">
        <x:v>0.055</x:v>
      </x:c>
    </x:row>
    <x:row r="2097">
      <x:c r="A2097" s="17" t="n">
        <x:v>45164</x:v>
      </x:c>
      <x:c r="B2097" s="20" t="n">
        <x:v>0.055</x:v>
      </x:c>
    </x:row>
    <x:row r="2098">
      <x:c r="A2098" s="17" t="n">
        <x:v>45165</x:v>
      </x:c>
      <x:c r="B2098" s="20" t="n">
        <x:v>0.055</x:v>
      </x:c>
    </x:row>
    <x:row r="2099">
      <x:c r="A2099" s="17" t="n">
        <x:v>45166</x:v>
      </x:c>
      <x:c r="B2099" s="20" t="n">
        <x:v>0.055</x:v>
      </x:c>
    </x:row>
    <x:row r="2100">
      <x:c r="A2100" s="17" t="n">
        <x:v>45167</x:v>
      </x:c>
      <x:c r="B2100" s="20" t="n">
        <x:v>0.055</x:v>
      </x:c>
    </x:row>
    <x:row r="2101">
      <x:c r="A2101" s="17" t="n">
        <x:v>45168</x:v>
      </x:c>
      <x:c r="B2101" s="20" t="n">
        <x:v>0.055</x:v>
      </x:c>
    </x:row>
    <x:row r="2102">
      <x:c r="A2102" s="17" t="n">
        <x:v>45169</x:v>
      </x:c>
      <x:c r="B2102" s="20" t="n">
        <x:v>0.055</x:v>
      </x:c>
    </x:row>
    <x:row r="2103">
      <x:c r="A2103" s="17" t="n">
        <x:v>45170</x:v>
      </x:c>
      <x:c r="B2103" s="20" t="n">
        <x:v>0.055</x:v>
      </x:c>
    </x:row>
    <x:row r="2104">
      <x:c r="A2104" s="17" t="n">
        <x:v>45171</x:v>
      </x:c>
      <x:c r="B2104" s="20" t="n">
        <x:v>0.055</x:v>
      </x:c>
    </x:row>
    <x:row r="2105">
      <x:c r="A2105" s="17" t="n">
        <x:v>45172</x:v>
      </x:c>
      <x:c r="B2105" s="20" t="n">
        <x:v>0.055</x:v>
      </x:c>
    </x:row>
    <x:row r="2106">
      <x:c r="A2106" s="17" t="n">
        <x:v>45173</x:v>
      </x:c>
      <x:c r="B2106" s="20" t="n">
        <x:v>0.055</x:v>
      </x:c>
    </x:row>
    <x:row r="2107">
      <x:c r="A2107" s="17" t="n">
        <x:v>45174</x:v>
      </x:c>
      <x:c r="B2107" s="20" t="n">
        <x:v>0.055</x:v>
      </x:c>
    </x:row>
    <x:row r="2108">
      <x:c r="A2108" s="17" t="n">
        <x:v>45175</x:v>
      </x:c>
      <x:c r="B2108" s="20" t="n">
        <x:v>0.055</x:v>
      </x:c>
    </x:row>
    <x:row r="2109">
      <x:c r="A2109" s="17" t="n">
        <x:v>45176</x:v>
      </x:c>
      <x:c r="B2109" s="20" t="n">
        <x:v>0.055</x:v>
      </x:c>
    </x:row>
    <x:row r="2110">
      <x:c r="A2110" s="17" t="n">
        <x:v>45177</x:v>
      </x:c>
      <x:c r="B2110" s="20" t="n">
        <x:v>0.055</x:v>
      </x:c>
    </x:row>
    <x:row r="2111">
      <x:c r="A2111" s="17" t="n">
        <x:v>45178</x:v>
      </x:c>
      <x:c r="B2111" s="20" t="n">
        <x:v>0.055</x:v>
      </x:c>
    </x:row>
    <x:row r="2112">
      <x:c r="A2112" s="17" t="n">
        <x:v>45179</x:v>
      </x:c>
      <x:c r="B2112" s="20" t="n">
        <x:v>0.055</x:v>
      </x:c>
    </x:row>
    <x:row r="2113">
      <x:c r="A2113" s="17" t="n">
        <x:v>45180</x:v>
      </x:c>
      <x:c r="B2113" s="20" t="n">
        <x:v>0.055</x:v>
      </x:c>
    </x:row>
    <x:row r="2114">
      <x:c r="A2114" s="17" t="n">
        <x:v>45181</x:v>
      </x:c>
      <x:c r="B2114" s="20" t="n">
        <x:v>0.055</x:v>
      </x:c>
    </x:row>
    <x:row r="2115">
      <x:c r="A2115" s="17" t="n">
        <x:v>45182</x:v>
      </x:c>
      <x:c r="B2115" s="20" t="n">
        <x:v>0.055</x:v>
      </x:c>
    </x:row>
    <x:row r="2116">
      <x:c r="A2116" s="17" t="n">
        <x:v>45183</x:v>
      </x:c>
      <x:c r="B2116" s="20" t="n">
        <x:v>0.055</x:v>
      </x:c>
    </x:row>
    <x:row r="2117">
      <x:c r="A2117" s="17" t="n">
        <x:v>45184</x:v>
      </x:c>
      <x:c r="B2117" s="20" t="n">
        <x:v>0.055</x:v>
      </x:c>
    </x:row>
    <x:row r="2118">
      <x:c r="A2118" s="17" t="n">
        <x:v>45185</x:v>
      </x:c>
      <x:c r="B2118" s="20" t="n">
        <x:v>0.055</x:v>
      </x:c>
    </x:row>
    <x:row r="2119">
      <x:c r="A2119" s="17" t="n">
        <x:v>45186</x:v>
      </x:c>
      <x:c r="B2119" s="20" t="n">
        <x:v>0.055</x:v>
      </x:c>
    </x:row>
    <x:row r="2120">
      <x:c r="A2120" s="17" t="n">
        <x:v>45187</x:v>
      </x:c>
      <x:c r="B2120" s="20" t="n">
        <x:v>0.055</x:v>
      </x:c>
    </x:row>
    <x:row r="2121">
      <x:c r="A2121" s="17" t="n">
        <x:v>45188</x:v>
      </x:c>
      <x:c r="B2121" s="20" t="n">
        <x:v>0.055</x:v>
      </x:c>
    </x:row>
    <x:row r="2122">
      <x:c r="A2122" s="17" t="n">
        <x:v>45189</x:v>
      </x:c>
      <x:c r="B2122" s="20" t="n">
        <x:v>0.055</x:v>
      </x:c>
    </x:row>
    <x:row r="2123">
      <x:c r="A2123" s="17" t="n">
        <x:v>45190</x:v>
      </x:c>
      <x:c r="B2123" s="20" t="n">
        <x:v>0.055</x:v>
      </x:c>
    </x:row>
    <x:row r="2124">
      <x:c r="A2124" s="17" t="n">
        <x:v>45191</x:v>
      </x:c>
      <x:c r="B2124" s="20" t="n">
        <x:v>0.055</x:v>
      </x:c>
    </x:row>
    <x:row r="2125">
      <x:c r="A2125" s="17" t="n">
        <x:v>45192</x:v>
      </x:c>
      <x:c r="B2125" s="20" t="n">
        <x:v>0.055</x:v>
      </x:c>
    </x:row>
    <x:row r="2126">
      <x:c r="A2126" s="17" t="n">
        <x:v>45193</x:v>
      </x:c>
      <x:c r="B2126" s="20" t="n">
        <x:v>0.055</x:v>
      </x:c>
    </x:row>
    <x:row r="2127">
      <x:c r="A2127" s="17" t="n">
        <x:v>45194</x:v>
      </x:c>
      <x:c r="B2127" s="20" t="n">
        <x:v>0.055</x:v>
      </x:c>
    </x:row>
    <x:row r="2128">
      <x:c r="A2128" s="17" t="n">
        <x:v>45195</x:v>
      </x:c>
      <x:c r="B2128" s="20" t="n">
        <x:v>0.055</x:v>
      </x:c>
    </x:row>
    <x:row r="2129">
      <x:c r="A2129" s="17" t="n">
        <x:v>45196</x:v>
      </x:c>
      <x:c r="B2129" s="20" t="n">
        <x:v>0.055</x:v>
      </x:c>
    </x:row>
    <x:row r="2130">
      <x:c r="A2130" s="17" t="n">
        <x:v>45197</x:v>
      </x:c>
      <x:c r="B2130" s="20" t="n">
        <x:v>0.055</x:v>
      </x:c>
    </x:row>
    <x:row r="2131">
      <x:c r="A2131" s="17" t="n">
        <x:v>45198</x:v>
      </x:c>
      <x:c r="B2131" s="20" t="n">
        <x:v>0.055</x:v>
      </x:c>
    </x:row>
    <x:row r="2132">
      <x:c r="A2132" s="17" t="n">
        <x:v>45199</x:v>
      </x:c>
      <x:c r="B2132" s="20" t="n">
        <x:v>0.055</x:v>
      </x:c>
    </x:row>
    <x:row r="2133">
      <x:c r="A2133" s="17" t="n">
        <x:v>45200</x:v>
      </x:c>
      <x:c r="B2133" s="20" t="n">
        <x:v>0.055</x:v>
      </x:c>
    </x:row>
    <x:row r="2134">
      <x:c r="A2134" s="17" t="n">
        <x:v>45201</x:v>
      </x:c>
      <x:c r="B2134" s="20" t="n">
        <x:v>0.055</x:v>
      </x:c>
    </x:row>
    <x:row r="2135">
      <x:c r="A2135" s="17" t="n">
        <x:v>45202</x:v>
      </x:c>
      <x:c r="B2135" s="20" t="n">
        <x:v>0.055</x:v>
      </x:c>
    </x:row>
    <x:row r="2136">
      <x:c r="A2136" s="17" t="n">
        <x:v>45203</x:v>
      </x:c>
      <x:c r="B2136" s="20" t="n">
        <x:v>0.055</x:v>
      </x:c>
    </x:row>
    <x:row r="2137">
      <x:c r="A2137" s="17" t="n">
        <x:v>45204</x:v>
      </x:c>
      <x:c r="B2137" s="20" t="n">
        <x:v>0.055</x:v>
      </x:c>
    </x:row>
    <x:row r="2138">
      <x:c r="A2138" s="17" t="n">
        <x:v>45205</x:v>
      </x:c>
      <x:c r="B2138" s="20" t="n">
        <x:v>0.055</x:v>
      </x:c>
    </x:row>
    <x:row r="2139">
      <x:c r="A2139" s="17" t="n">
        <x:v>45206</x:v>
      </x:c>
      <x:c r="B2139" s="20" t="n">
        <x:v>0.055</x:v>
      </x:c>
    </x:row>
    <x:row r="2140">
      <x:c r="A2140" s="17" t="n">
        <x:v>45207</x:v>
      </x:c>
      <x:c r="B2140" s="20" t="n">
        <x:v>0.055</x:v>
      </x:c>
    </x:row>
    <x:row r="2141">
      <x:c r="A2141" s="17" t="n">
        <x:v>45208</x:v>
      </x:c>
      <x:c r="B2141" s="20" t="n">
        <x:v>0.055</x:v>
      </x:c>
    </x:row>
    <x:row r="2142">
      <x:c r="A2142" s="17" t="n">
        <x:v>45209</x:v>
      </x:c>
      <x:c r="B2142" s="20" t="n">
        <x:v>0.055</x:v>
      </x:c>
    </x:row>
    <x:row r="2143">
      <x:c r="A2143" s="17" t="n">
        <x:v>45210</x:v>
      </x:c>
      <x:c r="B2143" s="20" t="n">
        <x:v>0.055</x:v>
      </x:c>
    </x:row>
    <x:row r="2144">
      <x:c r="A2144" s="17" t="n">
        <x:v>45211</x:v>
      </x:c>
      <x:c r="B2144" s="20" t="n">
        <x:v>0.055</x:v>
      </x:c>
    </x:row>
    <x:row r="2145">
      <x:c r="A2145" s="17" t="n">
        <x:v>45212</x:v>
      </x:c>
      <x:c r="B2145" s="20" t="n">
        <x:v>0.055</x:v>
      </x:c>
    </x:row>
    <x:row r="2146">
      <x:c r="A2146" s="17" t="n">
        <x:v>45213</x:v>
      </x:c>
      <x:c r="B2146" s="20" t="n">
        <x:v>0.055</x:v>
      </x:c>
    </x:row>
    <x:row r="2147">
      <x:c r="A2147" s="17" t="n">
        <x:v>45214</x:v>
      </x:c>
      <x:c r="B2147" s="20" t="n">
        <x:v>0.055</x:v>
      </x:c>
    </x:row>
    <x:row r="2148">
      <x:c r="A2148" s="17" t="n">
        <x:v>45215</x:v>
      </x:c>
      <x:c r="B2148" s="20" t="n">
        <x:v>0.055</x:v>
      </x:c>
    </x:row>
    <x:row r="2149">
      <x:c r="A2149" s="17" t="n">
        <x:v>45216</x:v>
      </x:c>
      <x:c r="B2149" s="20" t="n">
        <x:v>0.055</x:v>
      </x:c>
    </x:row>
    <x:row r="2150">
      <x:c r="A2150" s="17" t="n">
        <x:v>45217</x:v>
      </x:c>
      <x:c r="B2150" s="20" t="n">
        <x:v>0.055</x:v>
      </x:c>
    </x:row>
    <x:row r="2151">
      <x:c r="A2151" s="17" t="n">
        <x:v>45218</x:v>
      </x:c>
      <x:c r="B2151" s="20" t="n">
        <x:v>0.055</x:v>
      </x:c>
    </x:row>
    <x:row r="2152">
      <x:c r="A2152" s="17" t="n">
        <x:v>45219</x:v>
      </x:c>
      <x:c r="B2152" s="20" t="n">
        <x:v>0.055</x:v>
      </x:c>
    </x:row>
    <x:row r="2153">
      <x:c r="A2153" s="17" t="n">
        <x:v>45220</x:v>
      </x:c>
      <x:c r="B2153" s="20" t="n">
        <x:v>0.055</x:v>
      </x:c>
    </x:row>
    <x:row r="2154">
      <x:c r="A2154" s="17" t="n">
        <x:v>45221</x:v>
      </x:c>
      <x:c r="B2154" s="20" t="n">
        <x:v>0.055</x:v>
      </x:c>
    </x:row>
    <x:row r="2155">
      <x:c r="A2155" s="17" t="n">
        <x:v>45222</x:v>
      </x:c>
      <x:c r="B2155" s="20" t="n">
        <x:v>0.055</x:v>
      </x:c>
    </x:row>
    <x:row r="2156">
      <x:c r="A2156" s="17" t="n">
        <x:v>45223</x:v>
      </x:c>
      <x:c r="B2156" s="20" t="n">
        <x:v>0.055</x:v>
      </x:c>
    </x:row>
    <x:row r="2157">
      <x:c r="A2157" s="17" t="n">
        <x:v>45224</x:v>
      </x:c>
      <x:c r="B2157" s="20" t="n">
        <x:v>0.055</x:v>
      </x:c>
    </x:row>
    <x:row r="2158">
      <x:c r="A2158" s="17" t="n">
        <x:v>45225</x:v>
      </x:c>
      <x:c r="B2158" s="20" t="n">
        <x:v>0.055</x:v>
      </x:c>
    </x:row>
    <x:row r="2159">
      <x:c r="A2159" s="17" t="n">
        <x:v>45226</x:v>
      </x:c>
      <x:c r="B2159" s="20" t="n">
        <x:v>0.055</x:v>
      </x:c>
    </x:row>
    <x:row r="2160">
      <x:c r="A2160" s="17" t="n">
        <x:v>45227</x:v>
      </x:c>
      <x:c r="B2160" s="20" t="n">
        <x:v>0.055</x:v>
      </x:c>
    </x:row>
    <x:row r="2161">
      <x:c r="A2161" s="17" t="n">
        <x:v>45228</x:v>
      </x:c>
      <x:c r="B2161" s="20" t="n">
        <x:v>0.055</x:v>
      </x:c>
    </x:row>
    <x:row r="2162">
      <x:c r="A2162" s="17" t="n">
        <x:v>45229</x:v>
      </x:c>
      <x:c r="B2162" s="20" t="n">
        <x:v>0.055</x:v>
      </x:c>
    </x:row>
    <x:row r="2163">
      <x:c r="A2163" s="17" t="n">
        <x:v>45230</x:v>
      </x:c>
      <x:c r="B2163" s="20" t="n">
        <x:v>0.055</x:v>
      </x:c>
    </x:row>
    <x:row r="2164">
      <x:c r="A2164" s="17" t="n">
        <x:v>45231</x:v>
      </x:c>
      <x:c r="B2164" s="20" t="n">
        <x:v>0.055</x:v>
      </x:c>
    </x:row>
    <x:row r="2165">
      <x:c r="A2165" s="17" t="n">
        <x:v>45232</x:v>
      </x:c>
      <x:c r="B2165" s="20" t="n">
        <x:v>0.055</x:v>
      </x:c>
    </x:row>
    <x:row r="2166">
      <x:c r="A2166" s="17" t="n">
        <x:v>45233</x:v>
      </x:c>
      <x:c r="B2166" s="20" t="n">
        <x:v>0.055</x:v>
      </x:c>
    </x:row>
    <x:row r="2167">
      <x:c r="A2167" s="17" t="n">
        <x:v>45234</x:v>
      </x:c>
      <x:c r="B2167" s="20" t="n">
        <x:v>0.055</x:v>
      </x:c>
    </x:row>
    <x:row r="2168">
      <x:c r="A2168" s="17" t="n">
        <x:v>45235</x:v>
      </x:c>
      <x:c r="B2168" s="20" t="n">
        <x:v>0.055</x:v>
      </x:c>
    </x:row>
    <x:row r="2169">
      <x:c r="A2169" s="17" t="n">
        <x:v>45236</x:v>
      </x:c>
      <x:c r="B2169" s="20" t="n">
        <x:v>0.055</x:v>
      </x:c>
    </x:row>
    <x:row r="2170">
      <x:c r="A2170" s="17" t="n">
        <x:v>45237</x:v>
      </x:c>
      <x:c r="B2170" s="20" t="n">
        <x:v>0.055</x:v>
      </x:c>
    </x:row>
    <x:row r="2171">
      <x:c r="A2171" s="17" t="n">
        <x:v>45238</x:v>
      </x:c>
      <x:c r="B2171" s="20" t="n">
        <x:v>0.055</x:v>
      </x:c>
    </x:row>
    <x:row r="2172">
      <x:c r="A2172" s="17" t="n">
        <x:v>45239</x:v>
      </x:c>
      <x:c r="B2172" s="20" t="n">
        <x:v>0.055</x:v>
      </x:c>
    </x:row>
    <x:row r="2173">
      <x:c r="A2173" s="17" t="n">
        <x:v>45240</x:v>
      </x:c>
      <x:c r="B2173" s="20" t="n">
        <x:v>0.055</x:v>
      </x:c>
    </x:row>
    <x:row r="2174">
      <x:c r="A2174" s="17" t="n">
        <x:v>45241</x:v>
      </x:c>
      <x:c r="B2174" s="20" t="n">
        <x:v>0.055</x:v>
      </x:c>
    </x:row>
    <x:row r="2175">
      <x:c r="A2175" s="17" t="n">
        <x:v>45242</x:v>
      </x:c>
      <x:c r="B2175" s="20" t="n">
        <x:v>0.055</x:v>
      </x:c>
    </x:row>
    <x:row r="2176">
      <x:c r="A2176" s="17" t="n">
        <x:v>45243</x:v>
      </x:c>
      <x:c r="B2176" s="20" t="n">
        <x:v>0.055</x:v>
      </x:c>
    </x:row>
    <x:row r="2177">
      <x:c r="A2177" s="17" t="n">
        <x:v>45244</x:v>
      </x:c>
      <x:c r="B2177" s="20" t="n">
        <x:v>0.055</x:v>
      </x:c>
    </x:row>
    <x:row r="2178">
      <x:c r="A2178" s="17" t="n">
        <x:v>45245</x:v>
      </x:c>
      <x:c r="B2178" s="20" t="n">
        <x:v>0.055</x:v>
      </x:c>
    </x:row>
    <x:row r="2179">
      <x:c r="A2179" s="17" t="n">
        <x:v>45246</x:v>
      </x:c>
      <x:c r="B2179" s="20" t="n">
        <x:v>0.055</x:v>
      </x:c>
    </x:row>
    <x:row r="2180">
      <x:c r="A2180" s="17" t="n">
        <x:v>45247</x:v>
      </x:c>
      <x:c r="B2180" s="20" t="n">
        <x:v>0.055</x:v>
      </x:c>
    </x:row>
    <x:row r="2181">
      <x:c r="A2181" s="17" t="n">
        <x:v>45248</x:v>
      </x:c>
      <x:c r="B2181" s="20" t="n">
        <x:v>0.055</x:v>
      </x:c>
    </x:row>
    <x:row r="2182">
      <x:c r="A2182" s="17" t="n">
        <x:v>45249</x:v>
      </x:c>
      <x:c r="B2182" s="20" t="n">
        <x:v>0.055</x:v>
      </x:c>
    </x:row>
    <x:row r="2183">
      <x:c r="A2183" s="17" t="n">
        <x:v>45250</x:v>
      </x:c>
      <x:c r="B2183" s="20" t="n">
        <x:v>0.055</x:v>
      </x:c>
    </x:row>
    <x:row r="2184">
      <x:c r="A2184" s="17" t="n">
        <x:v>45251</x:v>
      </x:c>
      <x:c r="B2184" s="20" t="n">
        <x:v>0.055</x:v>
      </x:c>
    </x:row>
    <x:row r="2185">
      <x:c r="A2185" s="17" t="n">
        <x:v>45252</x:v>
      </x:c>
      <x:c r="B2185" s="20" t="n">
        <x:v>0.055</x:v>
      </x:c>
    </x:row>
    <x:row r="2186">
      <x:c r="A2186" s="17" t="n">
        <x:v>45253</x:v>
      </x:c>
      <x:c r="B2186" s="20" t="n">
        <x:v>0.055</x:v>
      </x:c>
    </x:row>
    <x:row r="2187">
      <x:c r="A2187" s="17" t="n">
        <x:v>45254</x:v>
      </x:c>
      <x:c r="B2187" s="20" t="n">
        <x:v>0.055</x:v>
      </x:c>
    </x:row>
    <x:row r="2188">
      <x:c r="A2188" s="17" t="n">
        <x:v>45255</x:v>
      </x:c>
      <x:c r="B2188" s="20" t="n">
        <x:v>0.055</x:v>
      </x:c>
    </x:row>
    <x:row r="2189">
      <x:c r="A2189" s="17" t="n">
        <x:v>45256</x:v>
      </x:c>
      <x:c r="B2189" s="20" t="n">
        <x:v>0.055</x:v>
      </x:c>
    </x:row>
    <x:row r="2190">
      <x:c r="A2190" s="17" t="n">
        <x:v>45257</x:v>
      </x:c>
      <x:c r="B2190" s="20" t="n">
        <x:v>0.055</x:v>
      </x:c>
    </x:row>
    <x:row r="2191">
      <x:c r="A2191" s="17" t="n">
        <x:v>45258</x:v>
      </x:c>
      <x:c r="B2191" s="20" t="n">
        <x:v>0.055</x:v>
      </x:c>
    </x:row>
    <x:row r="2192">
      <x:c r="A2192" s="17" t="n">
        <x:v>45259</x:v>
      </x:c>
      <x:c r="B2192" s="20" t="n">
        <x:v>0.055</x:v>
      </x:c>
    </x:row>
    <x:row r="2193">
      <x:c r="A2193" s="17" t="n">
        <x:v>45260</x:v>
      </x:c>
      <x:c r="B2193" s="20" t="n">
        <x:v>0.055</x:v>
      </x:c>
    </x:row>
    <x:row r="2194">
      <x:c r="A2194" s="17" t="n">
        <x:v>45261</x:v>
      </x:c>
      <x:c r="B2194" s="20" t="n">
        <x:v>0.055</x:v>
      </x:c>
    </x:row>
    <x:row r="2195">
      <x:c r="A2195" s="17" t="n">
        <x:v>45262</x:v>
      </x:c>
      <x:c r="B2195" s="20" t="n">
        <x:v>0.055</x:v>
      </x:c>
    </x:row>
    <x:row r="2196">
      <x:c r="A2196" s="17" t="n">
        <x:v>45263</x:v>
      </x:c>
      <x:c r="B2196" s="20" t="n">
        <x:v>0.055</x:v>
      </x:c>
    </x:row>
    <x:row r="2197">
      <x:c r="A2197" s="17" t="n">
        <x:v>45264</x:v>
      </x:c>
      <x:c r="B2197" s="20" t="n">
        <x:v>0.055</x:v>
      </x:c>
    </x:row>
    <x:row r="2198">
      <x:c r="A2198" s="17" t="n">
        <x:v>45265</x:v>
      </x:c>
      <x:c r="B2198" s="20" t="n">
        <x:v>0.055</x:v>
      </x:c>
    </x:row>
    <x:row r="2199">
      <x:c r="A2199" s="17" t="n">
        <x:v>45266</x:v>
      </x:c>
      <x:c r="B2199" s="20" t="n">
        <x:v>0.055</x:v>
      </x:c>
    </x:row>
    <x:row r="2200">
      <x:c r="A2200" s="17" t="n">
        <x:v>45267</x:v>
      </x:c>
      <x:c r="B2200" s="20" t="n">
        <x:v>0.055</x:v>
      </x:c>
    </x:row>
    <x:row r="2201">
      <x:c r="A2201" s="17" t="n">
        <x:v>45268</x:v>
      </x:c>
      <x:c r="B2201" s="20" t="n">
        <x:v>0.055</x:v>
      </x:c>
    </x:row>
    <x:row r="2202">
      <x:c r="A2202" s="17" t="n">
        <x:v>45269</x:v>
      </x:c>
      <x:c r="B2202" s="20" t="n">
        <x:v>0.055</x:v>
      </x:c>
    </x:row>
    <x:row r="2203">
      <x:c r="A2203" s="17" t="n">
        <x:v>45270</x:v>
      </x:c>
      <x:c r="B2203" s="20" t="n">
        <x:v>0.055</x:v>
      </x:c>
    </x:row>
    <x:row r="2204">
      <x:c r="A2204" s="17" t="n">
        <x:v>45271</x:v>
      </x:c>
      <x:c r="B2204" s="20" t="n">
        <x:v>0.055</x:v>
      </x:c>
    </x:row>
    <x:row r="2205">
      <x:c r="A2205" s="17" t="n">
        <x:v>45272</x:v>
      </x:c>
      <x:c r="B2205" s="20" t="n">
        <x:v>0.055</x:v>
      </x:c>
    </x:row>
    <x:row r="2206">
      <x:c r="A2206" s="17" t="n">
        <x:v>45273</x:v>
      </x:c>
      <x:c r="B2206" s="20" t="n">
        <x:v>0.055</x:v>
      </x:c>
    </x:row>
    <x:row r="2207">
      <x:c r="A2207" s="17" t="n">
        <x:v>45274</x:v>
      </x:c>
      <x:c r="B2207" s="20" t="n">
        <x:v>0.055</x:v>
      </x:c>
    </x:row>
    <x:row r="2208">
      <x:c r="A2208" s="17" t="n">
        <x:v>45275</x:v>
      </x:c>
      <x:c r="B2208" s="20" t="n">
        <x:v>0.055</x:v>
      </x:c>
    </x:row>
    <x:row r="2209">
      <x:c r="A2209" s="17" t="n">
        <x:v>45276</x:v>
      </x:c>
      <x:c r="B2209" s="20" t="n">
        <x:v>0.055</x:v>
      </x:c>
    </x:row>
    <x:row r="2210">
      <x:c r="A2210" s="17" t="n">
        <x:v>45277</x:v>
      </x:c>
      <x:c r="B2210" s="20" t="n">
        <x:v>0.055</x:v>
      </x:c>
    </x:row>
    <x:row r="2211">
      <x:c r="A2211" s="17" t="n">
        <x:v>45278</x:v>
      </x:c>
      <x:c r="B2211" s="20" t="n">
        <x:v>0.055</x:v>
      </x:c>
    </x:row>
    <x:row r="2212">
      <x:c r="A2212" s="17" t="n">
        <x:v>45279</x:v>
      </x:c>
      <x:c r="B2212" s="20" t="n">
        <x:v>0.055</x:v>
      </x:c>
    </x:row>
    <x:row r="2213">
      <x:c r="A2213" s="17" t="n">
        <x:v>45280</x:v>
      </x:c>
      <x:c r="B2213" s="20" t="n">
        <x:v>0.055</x:v>
      </x:c>
    </x:row>
    <x:row r="2214">
      <x:c r="A2214" s="17" t="n">
        <x:v>45281</x:v>
      </x:c>
      <x:c r="B2214" s="20" t="n">
        <x:v>0.055</x:v>
      </x:c>
    </x:row>
    <x:row r="2215">
      <x:c r="A2215" s="17" t="n">
        <x:v>45282</x:v>
      </x:c>
      <x:c r="B2215" s="20" t="n">
        <x:v>0.055</x:v>
      </x:c>
    </x:row>
    <x:row r="2216">
      <x:c r="A2216" s="17" t="n">
        <x:v>45283</x:v>
      </x:c>
      <x:c r="B2216" s="20" t="n">
        <x:v>0.055</x:v>
      </x:c>
    </x:row>
    <x:row r="2217">
      <x:c r="A2217" s="17" t="n">
        <x:v>45284</x:v>
      </x:c>
      <x:c r="B2217" s="20" t="n">
        <x:v>0.055</x:v>
      </x:c>
    </x:row>
    <x:row r="2218">
      <x:c r="A2218" s="17" t="n">
        <x:v>45285</x:v>
      </x:c>
      <x:c r="B2218" s="20" t="n">
        <x:v>0.055</x:v>
      </x:c>
    </x:row>
    <x:row r="2219">
      <x:c r="A2219" s="17" t="n">
        <x:v>45286</x:v>
      </x:c>
      <x:c r="B2219" s="20" t="n">
        <x:v>0.055</x:v>
      </x:c>
    </x:row>
    <x:row r="2220">
      <x:c r="A2220" s="17" t="n">
        <x:v>45287</x:v>
      </x:c>
      <x:c r="B2220" s="20" t="n">
        <x:v>0.055</x:v>
      </x:c>
    </x:row>
    <x:row r="2221">
      <x:c r="A2221" s="17" t="n">
        <x:v>45288</x:v>
      </x:c>
      <x:c r="B2221" s="20" t="n">
        <x:v>0.055</x:v>
      </x:c>
    </x:row>
    <x:row r="2222">
      <x:c r="A2222" s="17" t="n">
        <x:v>45289</x:v>
      </x:c>
      <x:c r="B2222" s="20" t="n">
        <x:v>0.055</x:v>
      </x:c>
    </x:row>
    <x:row r="2223">
      <x:c r="A2223" s="17" t="n">
        <x:v>45290</x:v>
      </x:c>
      <x:c r="B2223" s="20" t="n">
        <x:v>0.055</x:v>
      </x:c>
    </x:row>
    <x:row r="2224">
      <x:c r="A2224" s="17" t="n">
        <x:v>45291</x:v>
      </x:c>
      <x:c r="B2224" s="20" t="n">
        <x:v>0.055</x:v>
      </x:c>
    </x:row>
    <x:row r="2225">
      <x:c r="A2225" s="17" t="n">
        <x:v>45292</x:v>
      </x:c>
      <x:c r="B2225" s="20" t="n">
        <x:v>0.055</x:v>
      </x:c>
    </x:row>
    <x:row r="2226">
      <x:c r="A2226" s="17" t="n">
        <x:v>45293</x:v>
      </x:c>
      <x:c r="B2226" s="20" t="n">
        <x:v>0.055</x:v>
      </x:c>
    </x:row>
    <x:row r="2227">
      <x:c r="A2227" s="17" t="n">
        <x:v>45294</x:v>
      </x:c>
      <x:c r="B2227" s="20" t="n">
        <x:v>0.055</x:v>
      </x:c>
    </x:row>
    <x:row r="2228">
      <x:c r="A2228" s="17" t="n">
        <x:v>45295</x:v>
      </x:c>
      <x:c r="B2228" s="20" t="n">
        <x:v>0.055</x:v>
      </x:c>
    </x:row>
    <x:row r="2229">
      <x:c r="A2229" s="17" t="n">
        <x:v>45296</x:v>
      </x:c>
      <x:c r="B2229" s="20" t="n">
        <x:v>0.055</x:v>
      </x:c>
    </x:row>
    <x:row r="2230">
      <x:c r="A2230" s="17" t="n">
        <x:v>45297</x:v>
      </x:c>
      <x:c r="B2230" s="20" t="n">
        <x:v>0.055</x:v>
      </x:c>
    </x:row>
    <x:row r="2231">
      <x:c r="A2231" s="17" t="n">
        <x:v>45298</x:v>
      </x:c>
      <x:c r="B2231" s="20" t="n">
        <x:v>0.055</x:v>
      </x:c>
    </x:row>
    <x:row r="2232">
      <x:c r="A2232" s="17" t="n">
        <x:v>45299</x:v>
      </x:c>
      <x:c r="B2232" s="20" t="n">
        <x:v>0.055</x:v>
      </x:c>
    </x:row>
    <x:row r="2233">
      <x:c r="A2233" s="17" t="n">
        <x:v>45300</x:v>
      </x:c>
      <x:c r="B2233" s="20" t="n">
        <x:v>0.055</x:v>
      </x:c>
    </x:row>
    <x:row r="2234">
      <x:c r="A2234" s="17" t="n">
        <x:v>45301</x:v>
      </x:c>
      <x:c r="B2234" s="20" t="n">
        <x:v>0.055</x:v>
      </x:c>
    </x:row>
    <x:row r="2235">
      <x:c r="A2235" s="17" t="n">
        <x:v>45302</x:v>
      </x:c>
      <x:c r="B2235" s="20" t="n">
        <x:v>0.055</x:v>
      </x:c>
    </x:row>
    <x:row r="2236">
      <x:c r="A2236" s="17" t="n">
        <x:v>45303</x:v>
      </x:c>
      <x:c r="B2236" s="20" t="n">
        <x:v>0.055</x:v>
      </x:c>
    </x:row>
    <x:row r="2237">
      <x:c r="A2237" s="17" t="n">
        <x:v>45304</x:v>
      </x:c>
      <x:c r="B2237" s="20" t="n">
        <x:v>0.055</x:v>
      </x:c>
    </x:row>
    <x:row r="2238">
      <x:c r="A2238" s="17" t="n">
        <x:v>45305</x:v>
      </x:c>
      <x:c r="B2238" s="20" t="n">
        <x:v>0.055</x:v>
      </x:c>
    </x:row>
    <x:row r="2239">
      <x:c r="A2239" s="17" t="n">
        <x:v>45306</x:v>
      </x:c>
      <x:c r="B2239" s="20" t="n">
        <x:v>0.055</x:v>
      </x:c>
    </x:row>
    <x:row r="2240">
      <x:c r="A2240" s="17" t="n">
        <x:v>45307</x:v>
      </x:c>
      <x:c r="B2240" s="20" t="n">
        <x:v>0.055</x:v>
      </x:c>
    </x:row>
    <x:row r="2241">
      <x:c r="A2241" s="17" t="n">
        <x:v>45308</x:v>
      </x:c>
      <x:c r="B2241" s="20" t="n">
        <x:v>0.055</x:v>
      </x:c>
    </x:row>
    <x:row r="2242">
      <x:c r="A2242" s="17" t="n">
        <x:v>45309</x:v>
      </x:c>
      <x:c r="B2242" s="20" t="n">
        <x:v>0.055</x:v>
      </x:c>
    </x:row>
    <x:row r="2243">
      <x:c r="A2243" s="17" t="n">
        <x:v>45310</x:v>
      </x:c>
      <x:c r="B2243" s="20" t="n">
        <x:v>0.055</x:v>
      </x:c>
    </x:row>
    <x:row r="2244">
      <x:c r="A2244" s="17" t="n">
        <x:v>45311</x:v>
      </x:c>
      <x:c r="B2244" s="20" t="n">
        <x:v>0.055</x:v>
      </x:c>
    </x:row>
    <x:row r="2245">
      <x:c r="A2245" s="17" t="n">
        <x:v>45312</x:v>
      </x:c>
      <x:c r="B2245" s="20" t="n">
        <x:v>0.055</x:v>
      </x:c>
    </x:row>
    <x:row r="2246">
      <x:c r="A2246" s="17" t="n">
        <x:v>45313</x:v>
      </x:c>
      <x:c r="B2246" s="20" t="n">
        <x:v>0.055</x:v>
      </x:c>
    </x:row>
    <x:row r="2247">
      <x:c r="A2247" s="17" t="n">
        <x:v>45314</x:v>
      </x:c>
      <x:c r="B2247" s="20" t="n">
        <x:v>0.055</x:v>
      </x:c>
    </x:row>
    <x:row r="2248">
      <x:c r="A2248" s="17" t="n">
        <x:v>45315</x:v>
      </x:c>
      <x:c r="B2248" s="20" t="n">
        <x:v>0.055</x:v>
      </x:c>
    </x:row>
    <x:row r="2249">
      <x:c r="A2249" s="17" t="n">
        <x:v>45316</x:v>
      </x:c>
      <x:c r="B2249" s="20" t="n">
        <x:v>0.055</x:v>
      </x:c>
    </x:row>
    <x:row r="2250">
      <x:c r="A2250" s="17" t="n">
        <x:v>45317</x:v>
      </x:c>
      <x:c r="B2250" s="20" t="n">
        <x:v>0.055</x:v>
      </x:c>
    </x:row>
    <x:row r="2251">
      <x:c r="A2251" s="17" t="n">
        <x:v>45318</x:v>
      </x:c>
      <x:c r="B2251" s="20" t="n">
        <x:v>0.055</x:v>
      </x:c>
    </x:row>
    <x:row r="2252">
      <x:c r="A2252" s="17" t="n">
        <x:v>45319</x:v>
      </x:c>
      <x:c r="B2252" s="20" t="n">
        <x:v>0.055</x:v>
      </x:c>
    </x:row>
    <x:row r="2253">
      <x:c r="A2253" s="17" t="n">
        <x:v>45320</x:v>
      </x:c>
      <x:c r="B2253" s="20" t="n">
        <x:v>0.055</x:v>
      </x:c>
    </x:row>
    <x:row r="2254">
      <x:c r="A2254" s="17" t="n">
        <x:v>45321</x:v>
      </x:c>
      <x:c r="B2254" s="20" t="n">
        <x:v>0.055</x:v>
      </x:c>
    </x:row>
    <x:row r="2255">
      <x:c r="A2255" s="17" t="n">
        <x:v>45322</x:v>
      </x:c>
      <x:c r="B2255" s="20" t="n">
        <x:v>0.055</x:v>
      </x:c>
    </x:row>
    <x:row r="2256">
      <x:c r="A2256" s="17" t="n">
        <x:v>45323</x:v>
      </x:c>
      <x:c r="B2256" s="20" t="n">
        <x:v>0.055</x:v>
      </x:c>
    </x:row>
    <x:row r="2257">
      <x:c r="A2257" s="17" t="n">
        <x:v>45324</x:v>
      </x:c>
      <x:c r="B2257" s="20" t="n">
        <x:v>0.055</x:v>
      </x:c>
    </x:row>
    <x:row r="2258">
      <x:c r="A2258" s="17" t="n">
        <x:v>45325</x:v>
      </x:c>
      <x:c r="B2258" s="20" t="n">
        <x:v>0.055</x:v>
      </x:c>
    </x:row>
    <x:row r="2259">
      <x:c r="A2259" s="17" t="n">
        <x:v>45326</x:v>
      </x:c>
      <x:c r="B2259" s="20" t="n">
        <x:v>0.055</x:v>
      </x:c>
    </x:row>
    <x:row r="2260">
      <x:c r="A2260" s="17" t="n">
        <x:v>45327</x:v>
      </x:c>
      <x:c r="B2260" s="20" t="n">
        <x:v>0.055</x:v>
      </x:c>
    </x:row>
    <x:row r="2261">
      <x:c r="A2261" s="17" t="n">
        <x:v>45328</x:v>
      </x:c>
      <x:c r="B2261" s="20" t="n">
        <x:v>0.055</x:v>
      </x:c>
    </x:row>
    <x:row r="2262">
      <x:c r="A2262" s="17" t="n">
        <x:v>45329</x:v>
      </x:c>
      <x:c r="B2262" s="20" t="n">
        <x:v>0.055</x:v>
      </x:c>
    </x:row>
    <x:row r="2263">
      <x:c r="A2263" s="17" t="n">
        <x:v>45330</x:v>
      </x:c>
      <x:c r="B2263" s="20" t="n">
        <x:v>0.055</x:v>
      </x:c>
    </x:row>
    <x:row r="2264">
      <x:c r="A2264" s="17" t="n">
        <x:v>45331</x:v>
      </x:c>
      <x:c r="B2264" s="20" t="n">
        <x:v>0.055</x:v>
      </x:c>
    </x:row>
    <x:row r="2265">
      <x:c r="A2265" s="17" t="n">
        <x:v>45332</x:v>
      </x:c>
      <x:c r="B2265" s="20" t="n">
        <x:v>0.055</x:v>
      </x:c>
    </x:row>
    <x:row r="2266">
      <x:c r="A2266" s="17" t="n">
        <x:v>45333</x:v>
      </x:c>
      <x:c r="B2266" s="20" t="n">
        <x:v>0.055</x:v>
      </x:c>
    </x:row>
    <x:row r="2267">
      <x:c r="A2267" s="17" t="n">
        <x:v>45334</x:v>
      </x:c>
      <x:c r="B2267" s="20" t="n">
        <x:v>0.055</x:v>
      </x:c>
    </x:row>
    <x:row r="2268">
      <x:c r="A2268" s="17" t="n">
        <x:v>45335</x:v>
      </x:c>
      <x:c r="B2268" s="20" t="n">
        <x:v>0.055</x:v>
      </x:c>
    </x:row>
    <x:row r="2269">
      <x:c r="A2269" s="17" t="n">
        <x:v>45336</x:v>
      </x:c>
      <x:c r="B2269" s="20" t="n">
        <x:v>0.055</x:v>
      </x:c>
    </x:row>
    <x:row r="2270">
      <x:c r="A2270" s="17" t="n">
        <x:v>45337</x:v>
      </x:c>
      <x:c r="B2270" s="20" t="n">
        <x:v>0.055</x:v>
      </x:c>
    </x:row>
    <x:row r="2271">
      <x:c r="A2271" s="17" t="n">
        <x:v>45338</x:v>
      </x:c>
      <x:c r="B2271" s="20" t="n">
        <x:v>0.055</x:v>
      </x:c>
    </x:row>
    <x:row r="2272">
      <x:c r="A2272" s="17" t="n">
        <x:v>45339</x:v>
      </x:c>
      <x:c r="B2272" s="20" t="n">
        <x:v>0.055</x:v>
      </x:c>
    </x:row>
    <x:row r="2273">
      <x:c r="A2273" s="17" t="n">
        <x:v>45340</x:v>
      </x:c>
      <x:c r="B2273" s="20" t="n">
        <x:v>0.055</x:v>
      </x:c>
    </x:row>
    <x:row r="2274">
      <x:c r="A2274" s="17" t="n">
        <x:v>45341</x:v>
      </x:c>
      <x:c r="B2274" s="20" t="n">
        <x:v>0.055</x:v>
      </x:c>
    </x:row>
    <x:row r="2275">
      <x:c r="A2275" s="17" t="n">
        <x:v>45342</x:v>
      </x:c>
      <x:c r="B2275" s="20" t="n">
        <x:v>0.055</x:v>
      </x:c>
    </x:row>
    <x:row r="2276">
      <x:c r="A2276" s="17" t="n">
        <x:v>45343</x:v>
      </x:c>
      <x:c r="B2276" s="20" t="n">
        <x:v>0.055</x:v>
      </x:c>
    </x:row>
    <x:row r="2277">
      <x:c r="A2277" s="17" t="n">
        <x:v>45344</x:v>
      </x:c>
      <x:c r="B2277" s="20" t="n">
        <x:v>0.055</x:v>
      </x:c>
    </x:row>
    <x:row r="2278">
      <x:c r="A2278" s="17" t="n">
        <x:v>45345</x:v>
      </x:c>
      <x:c r="B2278" s="20" t="n">
        <x:v>0.055</x:v>
      </x:c>
    </x:row>
    <x:row r="2279">
      <x:c r="A2279" s="17" t="n">
        <x:v>45346</x:v>
      </x:c>
      <x:c r="B2279" s="20" t="n">
        <x:v>0.055</x:v>
      </x:c>
    </x:row>
    <x:row r="2280">
      <x:c r="A2280" s="17" t="n">
        <x:v>45347</x:v>
      </x:c>
      <x:c r="B2280" s="20" t="n">
        <x:v>0.055</x:v>
      </x:c>
    </x:row>
    <x:row r="2281">
      <x:c r="A2281" s="17" t="n">
        <x:v>45348</x:v>
      </x:c>
      <x:c r="B2281" s="20" t="n">
        <x:v>0.055</x:v>
      </x:c>
    </x:row>
    <x:row r="2282">
      <x:c r="A2282" s="17" t="n">
        <x:v>45349</x:v>
      </x:c>
      <x:c r="B2282" s="20" t="n">
        <x:v>0.055</x:v>
      </x:c>
    </x:row>
    <x:row r="2283">
      <x:c r="A2283" s="17" t="n">
        <x:v>45350</x:v>
      </x:c>
      <x:c r="B2283" s="20" t="n">
        <x:v>0.055</x:v>
      </x:c>
    </x:row>
    <x:row r="2284">
      <x:c r="A2284" s="17" t="n">
        <x:v>45351</x:v>
      </x:c>
      <x:c r="B2284" s="20" t="n">
        <x:v>0.055</x:v>
      </x:c>
    </x:row>
    <x:row r="2285">
      <x:c r="A2285" s="17" t="n">
        <x:v>45352</x:v>
      </x:c>
      <x:c r="B2285" s="20" t="n">
        <x:v>0.055</x:v>
      </x:c>
    </x:row>
    <x:row r="2286">
      <x:c r="A2286" s="17" t="n">
        <x:v>45353</x:v>
      </x:c>
      <x:c r="B2286" s="20" t="n">
        <x:v>0.055</x:v>
      </x:c>
    </x:row>
    <x:row r="2287">
      <x:c r="A2287" s="17" t="n">
        <x:v>45354</x:v>
      </x:c>
      <x:c r="B2287" s="20" t="n">
        <x:v>0.055</x:v>
      </x:c>
    </x:row>
    <x:row r="2288">
      <x:c r="A2288" s="17" t="n">
        <x:v>45355</x:v>
      </x:c>
      <x:c r="B2288" s="20" t="n">
        <x:v>0.055</x:v>
      </x:c>
    </x:row>
    <x:row r="2289">
      <x:c r="A2289" s="17" t="n">
        <x:v>45356</x:v>
      </x:c>
      <x:c r="B2289" s="20" t="n">
        <x:v>0.055</x:v>
      </x:c>
    </x:row>
    <x:row r="2290">
      <x:c r="A2290" s="17" t="n">
        <x:v>45357</x:v>
      </x:c>
      <x:c r="B2290" s="20" t="n">
        <x:v>0.055</x:v>
      </x:c>
    </x:row>
    <x:row r="2291">
      <x:c r="A2291" s="17" t="n">
        <x:v>45358</x:v>
      </x:c>
      <x:c r="B2291" s="20" t="n">
        <x:v>0.055</x:v>
      </x:c>
    </x:row>
    <x:row r="2292">
      <x:c r="A2292" s="17" t="n">
        <x:v>45359</x:v>
      </x:c>
      <x:c r="B2292" s="20" t="n">
        <x:v>0.055</x:v>
      </x:c>
    </x:row>
    <x:row r="2293">
      <x:c r="A2293" s="17" t="n">
        <x:v>45360</x:v>
      </x:c>
      <x:c r="B2293" s="20" t="n">
        <x:v>0.055</x:v>
      </x:c>
    </x:row>
    <x:row r="2294">
      <x:c r="A2294" s="17" t="n">
        <x:v>45361</x:v>
      </x:c>
      <x:c r="B2294" s="20" t="n">
        <x:v>0.055</x:v>
      </x:c>
    </x:row>
    <x:row r="2295">
      <x:c r="A2295" s="17" t="n">
        <x:v>45362</x:v>
      </x:c>
      <x:c r="B2295" s="20" t="n">
        <x:v>0.055</x:v>
      </x:c>
    </x:row>
    <x:row r="2296">
      <x:c r="A2296" s="17" t="n">
        <x:v>45363</x:v>
      </x:c>
      <x:c r="B2296" s="20" t="n">
        <x:v>0.055</x:v>
      </x:c>
    </x:row>
    <x:row r="2297">
      <x:c r="A2297" s="17" t="n">
        <x:v>45364</x:v>
      </x:c>
      <x:c r="B2297" s="20" t="n">
        <x:v>0.055</x:v>
      </x:c>
    </x:row>
    <x:row r="2298">
      <x:c r="A2298" s="17" t="n">
        <x:v>45365</x:v>
      </x:c>
      <x:c r="B2298" s="20" t="n">
        <x:v>0.055</x:v>
      </x:c>
    </x:row>
    <x:row r="2299">
      <x:c r="A2299" s="17" t="n">
        <x:v>45366</x:v>
      </x:c>
      <x:c r="B2299" s="20" t="n">
        <x:v>0.055</x:v>
      </x:c>
    </x:row>
    <x:row r="2300">
      <x:c r="A2300" s="17" t="n">
        <x:v>45367</x:v>
      </x:c>
      <x:c r="B2300" s="20" t="n">
        <x:v>0.055</x:v>
      </x:c>
    </x:row>
    <x:row r="2301">
      <x:c r="A2301" s="17" t="n">
        <x:v>45368</x:v>
      </x:c>
      <x:c r="B2301" s="20" t="n">
        <x:v>0.055</x:v>
      </x:c>
    </x:row>
    <x:row r="2302">
      <x:c r="A2302" s="17" t="n">
        <x:v>45369</x:v>
      </x:c>
      <x:c r="B2302" s="20" t="n">
        <x:v>0.055</x:v>
      </x:c>
    </x:row>
    <x:row r="2303">
      <x:c r="A2303" s="17" t="n">
        <x:v>45370</x:v>
      </x:c>
      <x:c r="B2303" s="20" t="n">
        <x:v>0.055</x:v>
      </x:c>
    </x:row>
    <x:row r="2304">
      <x:c r="A2304" s="17" t="n">
        <x:v>45371</x:v>
      </x:c>
      <x:c r="B2304" s="20" t="n">
        <x:v>0.055</x:v>
      </x:c>
    </x:row>
    <x:row r="2305">
      <x:c r="A2305" s="17" t="n">
        <x:v>45372</x:v>
      </x:c>
      <x:c r="B2305" s="20" t="n">
        <x:v>0.055</x:v>
      </x:c>
    </x:row>
    <x:row r="2306">
      <x:c r="A2306" s="17" t="n">
        <x:v>45373</x:v>
      </x:c>
      <x:c r="B2306" s="20" t="n">
        <x:v>0.055</x:v>
      </x:c>
    </x:row>
    <x:row r="2307">
      <x:c r="A2307" s="17" t="n">
        <x:v>45374</x:v>
      </x:c>
      <x:c r="B2307" s="20" t="n">
        <x:v>0.055</x:v>
      </x:c>
    </x:row>
    <x:row r="2308">
      <x:c r="A2308" s="17" t="n">
        <x:v>45375</x:v>
      </x:c>
      <x:c r="B2308" s="20" t="n">
        <x:v>0.055</x:v>
      </x:c>
    </x:row>
    <x:row r="2309">
      <x:c r="A2309" s="17" t="n">
        <x:v>45376</x:v>
      </x:c>
      <x:c r="B2309" s="20" t="n">
        <x:v>0.055</x:v>
      </x:c>
    </x:row>
    <x:row r="2310">
      <x:c r="A2310" s="17" t="n">
        <x:v>45377</x:v>
      </x:c>
      <x:c r="B2310" s="20" t="n">
        <x:v>0.055</x:v>
      </x:c>
    </x:row>
    <x:row r="2311">
      <x:c r="A2311" s="17" t="n">
        <x:v>45378</x:v>
      </x:c>
      <x:c r="B2311" s="20" t="n">
        <x:v>0.055</x:v>
      </x:c>
    </x:row>
    <x:row r="2312">
      <x:c r="A2312" s="17" t="n">
        <x:v>45379</x:v>
      </x:c>
      <x:c r="B2312" s="20" t="n">
        <x:v>0.055</x:v>
      </x:c>
    </x:row>
    <x:row r="2313">
      <x:c r="A2313" s="17" t="n">
        <x:v>45380</x:v>
      </x:c>
      <x:c r="B2313" s="20" t="n">
        <x:v>0.055</x:v>
      </x:c>
    </x:row>
    <x:row r="2314">
      <x:c r="A2314" s="17" t="n">
        <x:v>45381</x:v>
      </x:c>
      <x:c r="B2314" s="20" t="n">
        <x:v>0.055</x:v>
      </x:c>
    </x:row>
    <x:row r="2315">
      <x:c r="A2315" s="17" t="n">
        <x:v>45382</x:v>
      </x:c>
      <x:c r="B2315" s="20" t="n">
        <x:v>0.055</x:v>
      </x:c>
    </x:row>
    <x:row r="2316">
      <x:c r="A2316" s="17" t="n">
        <x:v>45383</x:v>
      </x:c>
      <x:c r="B2316" s="20" t="n">
        <x:v>0.055</x:v>
      </x:c>
    </x:row>
    <x:row r="2317">
      <x:c r="A2317" s="17" t="n">
        <x:v>45384</x:v>
      </x:c>
      <x:c r="B2317" s="20" t="n">
        <x:v>0.055</x:v>
      </x:c>
    </x:row>
    <x:row r="2318">
      <x:c r="A2318" s="17" t="n">
        <x:v>45385</x:v>
      </x:c>
      <x:c r="B2318" s="20" t="n">
        <x:v>0.055</x:v>
      </x:c>
    </x:row>
    <x:row r="2319">
      <x:c r="A2319" s="17" t="n">
        <x:v>45386</x:v>
      </x:c>
      <x:c r="B2319" s="20" t="n">
        <x:v>0.055</x:v>
      </x:c>
    </x:row>
    <x:row r="2320">
      <x:c r="A2320" s="17" t="n">
        <x:v>45387</x:v>
      </x:c>
      <x:c r="B2320" s="20" t="n">
        <x:v>0.055</x:v>
      </x:c>
    </x:row>
    <x:row r="2321">
      <x:c r="A2321" s="17" t="n">
        <x:v>45388</x:v>
      </x:c>
      <x:c r="B2321" s="20" t="n">
        <x:v>0.055</x:v>
      </x:c>
    </x:row>
    <x:row r="2322">
      <x:c r="A2322" s="17" t="n">
        <x:v>45389</x:v>
      </x:c>
      <x:c r="B2322" s="20" t="n">
        <x:v>0.055</x:v>
      </x:c>
    </x:row>
    <x:row r="2323">
      <x:c r="A2323" s="17" t="n">
        <x:v>45390</x:v>
      </x:c>
      <x:c r="B2323" s="20" t="n">
        <x:v>0.055</x:v>
      </x:c>
    </x:row>
    <x:row r="2324">
      <x:c r="A2324" s="17" t="n">
        <x:v>45391</x:v>
      </x:c>
      <x:c r="B2324" s="20" t="n">
        <x:v>0.055</x:v>
      </x:c>
    </x:row>
    <x:row r="2325">
      <x:c r="A2325" s="17" t="n">
        <x:v>45392</x:v>
      </x:c>
      <x:c r="B2325" s="20" t="n">
        <x:v>0.055</x:v>
      </x:c>
    </x:row>
    <x:row r="2326">
      <x:c r="A2326" s="17" t="n">
        <x:v>45393</x:v>
      </x:c>
      <x:c r="B2326" s="20" t="n">
        <x:v>0.055</x:v>
      </x:c>
    </x:row>
    <x:row r="2327">
      <x:c r="A2327" s="17" t="n">
        <x:v>45394</x:v>
      </x:c>
      <x:c r="B2327" s="20" t="n">
        <x:v>0.055</x:v>
      </x:c>
    </x:row>
    <x:row r="2328">
      <x:c r="A2328" s="17" t="n">
        <x:v>45395</x:v>
      </x:c>
      <x:c r="B2328" s="20" t="n">
        <x:v>0.055</x:v>
      </x:c>
    </x:row>
    <x:row r="2329">
      <x:c r="A2329" s="17" t="n">
        <x:v>45396</x:v>
      </x:c>
      <x:c r="B2329" s="20" t="n">
        <x:v>0.055</x:v>
      </x:c>
    </x:row>
    <x:row r="2330">
      <x:c r="A2330" s="17" t="n">
        <x:v>45397</x:v>
      </x:c>
      <x:c r="B2330" s="20" t="n">
        <x:v>0.055</x:v>
      </x:c>
    </x:row>
    <x:row r="2331">
      <x:c r="A2331" s="17" t="n">
        <x:v>45398</x:v>
      </x:c>
      <x:c r="B2331" s="20" t="n">
        <x:v>0.055</x:v>
      </x:c>
    </x:row>
    <x:row r="2332">
      <x:c r="A2332" s="17" t="n">
        <x:v>45399</x:v>
      </x:c>
      <x:c r="B2332" s="20" t="n">
        <x:v>0.055</x:v>
      </x:c>
    </x:row>
    <x:row r="2333">
      <x:c r="A2333" s="17" t="n">
        <x:v>45400</x:v>
      </x:c>
      <x:c r="B2333" s="20" t="n">
        <x:v>0.055</x:v>
      </x:c>
    </x:row>
    <x:row r="2334">
      <x:c r="A2334" s="17" t="n">
        <x:v>45401</x:v>
      </x:c>
      <x:c r="B2334" s="20" t="n">
        <x:v>0.055</x:v>
      </x:c>
    </x:row>
    <x:row r="2335">
      <x:c r="A2335" s="17" t="n">
        <x:v>45402</x:v>
      </x:c>
      <x:c r="B2335" s="20" t="n">
        <x:v>0.055</x:v>
      </x:c>
    </x:row>
    <x:row r="2336">
      <x:c r="A2336" s="17" t="n">
        <x:v>45403</x:v>
      </x:c>
      <x:c r="B2336" s="20" t="n">
        <x:v>0.055</x:v>
      </x:c>
    </x:row>
    <x:row r="2337">
      <x:c r="A2337" s="17" t="n">
        <x:v>45404</x:v>
      </x:c>
      <x:c r="B2337" s="20" t="n">
        <x:v>0.055</x:v>
      </x:c>
    </x:row>
    <x:row r="2338">
      <x:c r="A2338" s="17" t="n">
        <x:v>45405</x:v>
      </x:c>
      <x:c r="B2338" s="20" t="n">
        <x:v>0.055</x:v>
      </x:c>
    </x:row>
    <x:row r="2339">
      <x:c r="A2339" s="17" t="n">
        <x:v>45406</x:v>
      </x:c>
      <x:c r="B2339" s="20" t="n">
        <x:v>0.055</x:v>
      </x:c>
    </x:row>
    <x:row r="2340">
      <x:c r="A2340" s="17" t="n">
        <x:v>45407</x:v>
      </x:c>
      <x:c r="B2340" s="20" t="n">
        <x:v>0.055</x:v>
      </x:c>
    </x:row>
    <x:row r="2341">
      <x:c r="A2341" s="17" t="n">
        <x:v>45408</x:v>
      </x:c>
      <x:c r="B2341" s="20" t="n">
        <x:v>0.055</x:v>
      </x:c>
    </x:row>
    <x:row r="2342">
      <x:c r="A2342" s="17" t="n">
        <x:v>45409</x:v>
      </x:c>
      <x:c r="B2342" s="20" t="n">
        <x:v>0.055</x:v>
      </x:c>
    </x:row>
    <x:row r="2343">
      <x:c r="A2343" s="17" t="n">
        <x:v>45410</x:v>
      </x:c>
      <x:c r="B2343" s="20" t="n">
        <x:v>0.055</x:v>
      </x:c>
    </x:row>
    <x:row r="2344">
      <x:c r="A2344" s="17" t="n">
        <x:v>45411</x:v>
      </x:c>
      <x:c r="B2344" s="20" t="n">
        <x:v>0.055</x:v>
      </x:c>
    </x:row>
    <x:row r="2345">
      <x:c r="A2345" s="17" t="n">
        <x:v>45412</x:v>
      </x:c>
      <x:c r="B2345" s="20" t="n">
        <x:v>0.055</x:v>
      </x:c>
    </x:row>
    <x:row r="2346">
      <x:c r="A2346" s="17" t="n">
        <x:v>45413</x:v>
      </x:c>
      <x:c r="B2346" s="20" t="n">
        <x:v>0.055</x:v>
      </x:c>
    </x:row>
    <x:row r="2347">
      <x:c r="A2347" s="17" t="n">
        <x:v>45414</x:v>
      </x:c>
      <x:c r="B2347" s="20" t="n">
        <x:v>0.055</x:v>
      </x:c>
    </x:row>
    <x:row r="2348">
      <x:c r="A2348" s="17" t="n">
        <x:v>45415</x:v>
      </x:c>
      <x:c r="B2348" s="20" t="n">
        <x:v>0.055</x:v>
      </x:c>
    </x:row>
    <x:row r="2349">
      <x:c r="A2349" s="17" t="n">
        <x:v>45416</x:v>
      </x:c>
      <x:c r="B2349" s="20" t="n">
        <x:v>0.055</x:v>
      </x:c>
    </x:row>
    <x:row r="2350">
      <x:c r="A2350" s="17" t="n">
        <x:v>45417</x:v>
      </x:c>
      <x:c r="B2350" s="20" t="n">
        <x:v>0.055</x:v>
      </x:c>
    </x:row>
    <x:row r="2351">
      <x:c r="A2351" s="17" t="n">
        <x:v>45418</x:v>
      </x:c>
      <x:c r="B2351" s="20" t="n">
        <x:v>0.055</x:v>
      </x:c>
    </x:row>
    <x:row r="2352">
      <x:c r="A2352" s="17" t="n">
        <x:v>45419</x:v>
      </x:c>
      <x:c r="B2352" s="20" t="n">
        <x:v>0.055</x:v>
      </x:c>
    </x:row>
    <x:row r="2353">
      <x:c r="A2353" s="17" t="n">
        <x:v>45420</x:v>
      </x:c>
      <x:c r="B2353" s="20" t="n">
        <x:v>0.055</x:v>
      </x:c>
    </x:row>
    <x:row r="2354">
      <x:c r="A2354" s="17" t="n">
        <x:v>45421</x:v>
      </x:c>
      <x:c r="B2354" s="20" t="n">
        <x:v>0.055</x:v>
      </x:c>
    </x:row>
    <x:row r="2355">
      <x:c r="A2355" s="17" t="n">
        <x:v>45422</x:v>
      </x:c>
      <x:c r="B2355" s="20" t="n">
        <x:v>0.055</x:v>
      </x:c>
    </x:row>
    <x:row r="2356">
      <x:c r="A2356" s="17" t="n">
        <x:v>45423</x:v>
      </x:c>
      <x:c r="B2356" s="20" t="n">
        <x:v>0.055</x:v>
      </x:c>
    </x:row>
    <x:row r="2357">
      <x:c r="A2357" s="17" t="n">
        <x:v>45424</x:v>
      </x:c>
      <x:c r="B2357" s="20" t="n">
        <x:v>0.055</x:v>
      </x:c>
    </x:row>
    <x:row r="2358">
      <x:c r="A2358" s="17" t="n">
        <x:v>45425</x:v>
      </x:c>
      <x:c r="B2358" s="20" t="n">
        <x:v>0.055</x:v>
      </x:c>
    </x:row>
    <x:row r="2359">
      <x:c r="A2359" s="17" t="n">
        <x:v>45426</x:v>
      </x:c>
      <x:c r="B2359" s="20" t="n">
        <x:v>0.055</x:v>
      </x:c>
    </x:row>
    <x:row r="2360">
      <x:c r="A2360" s="17" t="n">
        <x:v>45427</x:v>
      </x:c>
      <x:c r="B2360" s="20" t="n">
        <x:v>0.055</x:v>
      </x:c>
    </x:row>
    <x:row r="2361">
      <x:c r="A2361" s="17" t="n">
        <x:v>45428</x:v>
      </x:c>
      <x:c r="B2361" s="20" t="n">
        <x:v>0.055</x:v>
      </x:c>
    </x:row>
    <x:row r="2362">
      <x:c r="A2362" s="17" t="n">
        <x:v>45429</x:v>
      </x:c>
      <x:c r="B2362" s="20" t="n">
        <x:v>0.055</x:v>
      </x:c>
    </x:row>
    <x:row r="2363">
      <x:c r="A2363" s="17" t="n">
        <x:v>45430</x:v>
      </x:c>
      <x:c r="B2363" s="20" t="n">
        <x:v>0.055</x:v>
      </x:c>
    </x:row>
    <x:row r="2364">
      <x:c r="A2364" s="17" t="n">
        <x:v>45431</x:v>
      </x:c>
      <x:c r="B2364" s="20" t="n">
        <x:v>0.055</x:v>
      </x:c>
    </x:row>
    <x:row r="2365">
      <x:c r="A2365" s="17" t="n">
        <x:v>45432</x:v>
      </x:c>
      <x:c r="B2365" s="20" t="n">
        <x:v>0.055</x:v>
      </x:c>
    </x:row>
    <x:row r="2366">
      <x:c r="A2366" s="17" t="n">
        <x:v>45433</x:v>
      </x:c>
      <x:c r="B2366" s="20" t="n">
        <x:v>0.055</x:v>
      </x:c>
    </x:row>
    <x:row r="2367">
      <x:c r="A2367" s="17" t="n">
        <x:v>45434</x:v>
      </x:c>
      <x:c r="B2367" s="20" t="n">
        <x:v>0.055</x:v>
      </x:c>
    </x:row>
    <x:row r="2368">
      <x:c r="A2368" s="17" t="n">
        <x:v>45435</x:v>
      </x:c>
      <x:c r="B2368" s="20" t="n">
        <x:v>0.055</x:v>
      </x:c>
    </x:row>
    <x:row r="2369">
      <x:c r="A2369" s="17" t="n">
        <x:v>45436</x:v>
      </x:c>
      <x:c r="B2369" s="20" t="n">
        <x:v>0.055</x:v>
      </x:c>
    </x:row>
    <x:row r="2370">
      <x:c r="A2370" s="17" t="n">
        <x:v>45437</x:v>
      </x:c>
      <x:c r="B2370" s="20" t="n">
        <x:v>0.055</x:v>
      </x:c>
    </x:row>
    <x:row r="2371">
      <x:c r="A2371" s="17" t="n">
        <x:v>45438</x:v>
      </x:c>
      <x:c r="B2371" s="20" t="n">
        <x:v>0.055</x:v>
      </x:c>
    </x:row>
    <x:row r="2372">
      <x:c r="A2372" s="17" t="n">
        <x:v>45439</x:v>
      </x:c>
      <x:c r="B2372" s="20" t="n">
        <x:v>0.055</x:v>
      </x:c>
    </x:row>
    <x:row r="2373">
      <x:c r="A2373" s="17" t="n">
        <x:v>45440</x:v>
      </x:c>
      <x:c r="B2373" s="20" t="n">
        <x:v>0.055</x:v>
      </x:c>
    </x:row>
    <x:row r="2374">
      <x:c r="A2374" s="17" t="n">
        <x:v>45441</x:v>
      </x:c>
      <x:c r="B2374" s="20" t="n">
        <x:v>0.055</x:v>
      </x:c>
    </x:row>
    <x:row r="2375">
      <x:c r="A2375" s="17" t="n">
        <x:v>45442</x:v>
      </x:c>
      <x:c r="B2375" s="20" t="n">
        <x:v>0.055</x:v>
      </x:c>
    </x:row>
    <x:row r="2376">
      <x:c r="A2376" s="17" t="n">
        <x:v>45443</x:v>
      </x:c>
      <x:c r="B2376" s="20" t="n">
        <x:v>0.055</x:v>
      </x:c>
    </x:row>
    <x:row r="2377">
      <x:c r="A2377" s="17" t="n">
        <x:v>45444</x:v>
      </x:c>
      <x:c r="B2377" s="20" t="n">
        <x:v>0.055</x:v>
      </x:c>
    </x:row>
    <x:row r="2378">
      <x:c r="A2378" s="17" t="n">
        <x:v>45445</x:v>
      </x:c>
      <x:c r="B2378" s="20" t="n">
        <x:v>0.055</x:v>
      </x:c>
    </x:row>
    <x:row r="2379">
      <x:c r="A2379" s="17" t="n">
        <x:v>45446</x:v>
      </x:c>
      <x:c r="B2379" s="20" t="n">
        <x:v>0.055</x:v>
      </x:c>
    </x:row>
    <x:row r="2380">
      <x:c r="A2380" s="17" t="n">
        <x:v>45447</x:v>
      </x:c>
      <x:c r="B2380" s="20" t="n">
        <x:v>0.055</x:v>
      </x:c>
    </x:row>
    <x:row r="2381">
      <x:c r="A2381" s="17" t="n">
        <x:v>45448</x:v>
      </x:c>
      <x:c r="B2381" s="20" t="n">
        <x:v>0.055</x:v>
      </x:c>
    </x:row>
    <x:row r="2382">
      <x:c r="A2382" s="17" t="n">
        <x:v>45449</x:v>
      </x:c>
      <x:c r="B2382" s="20" t="n">
        <x:v>0.055</x:v>
      </x:c>
    </x:row>
    <x:row r="2383">
      <x:c r="A2383" s="17" t="n">
        <x:v>45450</x:v>
      </x:c>
      <x:c r="B2383" s="20" t="n">
        <x:v>0.055</x:v>
      </x:c>
    </x:row>
    <x:row r="2384">
      <x:c r="A2384" s="17" t="n">
        <x:v>45451</x:v>
      </x:c>
      <x:c r="B2384" s="20" t="n">
        <x:v>0.055</x:v>
      </x:c>
    </x:row>
    <x:row r="2385">
      <x:c r="A2385" s="17" t="n">
        <x:v>45452</x:v>
      </x:c>
      <x:c r="B2385" s="20" t="n">
        <x:v>0.055</x:v>
      </x:c>
    </x:row>
    <x:row r="2386">
      <x:c r="A2386" s="17" t="n">
        <x:v>45453</x:v>
      </x:c>
      <x:c r="B2386" s="20" t="n">
        <x:v>0.055</x:v>
      </x:c>
    </x:row>
    <x:row r="2387">
      <x:c r="A2387" s="17" t="n">
        <x:v>45454</x:v>
      </x:c>
      <x:c r="B2387" s="20" t="n">
        <x:v>0.055</x:v>
      </x:c>
    </x:row>
    <x:row r="2388">
      <x:c r="A2388" s="17" t="n">
        <x:v>45455</x:v>
      </x:c>
      <x:c r="B2388" s="20" t="n">
        <x:v>0.055</x:v>
      </x:c>
    </x:row>
    <x:row r="2389">
      <x:c r="A2389" s="17" t="n">
        <x:v>45456</x:v>
      </x:c>
      <x:c r="B2389" s="20" t="n">
        <x:v>0.055</x:v>
      </x:c>
    </x:row>
    <x:row r="2390">
      <x:c r="A2390" s="17" t="n">
        <x:v>45457</x:v>
      </x:c>
      <x:c r="B2390" s="20" t="n">
        <x:v>0.055</x:v>
      </x:c>
    </x:row>
    <x:row r="2391">
      <x:c r="A2391" s="17" t="n">
        <x:v>45458</x:v>
      </x:c>
      <x:c r="B2391" s="20" t="n">
        <x:v>0.055</x:v>
      </x:c>
    </x:row>
    <x:row r="2392">
      <x:c r="A2392" s="17" t="n">
        <x:v>45459</x:v>
      </x:c>
      <x:c r="B2392" s="20" t="n">
        <x:v>0.055</x:v>
      </x:c>
    </x:row>
    <x:row r="2393">
      <x:c r="A2393" s="17" t="n">
        <x:v>45460</x:v>
      </x:c>
      <x:c r="B2393" s="20" t="n">
        <x:v>0.055</x:v>
      </x:c>
    </x:row>
    <x:row r="2394">
      <x:c r="A2394" s="17" t="n">
        <x:v>45461</x:v>
      </x:c>
      <x:c r="B2394" s="20" t="n">
        <x:v>0.055</x:v>
      </x:c>
    </x:row>
    <x:row r="2395">
      <x:c r="A2395" s="17" t="n">
        <x:v>45462</x:v>
      </x:c>
      <x:c r="B2395" s="20" t="n">
        <x:v>0.055</x:v>
      </x:c>
    </x:row>
    <x:row r="2396">
      <x:c r="A2396" s="17" t="n">
        <x:v>45463</x:v>
      </x:c>
      <x:c r="B2396" s="20" t="n">
        <x:v>0.055</x:v>
      </x:c>
    </x:row>
    <x:row r="2397">
      <x:c r="A2397" s="17" t="n">
        <x:v>45464</x:v>
      </x:c>
      <x:c r="B2397" s="20" t="n">
        <x:v>0.055</x:v>
      </x:c>
    </x:row>
    <x:row r="2398">
      <x:c r="A2398" s="17" t="n">
        <x:v>45465</x:v>
      </x:c>
      <x:c r="B2398" s="20" t="n">
        <x:v>0.055</x:v>
      </x:c>
    </x:row>
    <x:row r="2399">
      <x:c r="A2399" s="17" t="n">
        <x:v>45466</x:v>
      </x:c>
      <x:c r="B2399" s="20" t="n">
        <x:v>0.055</x:v>
      </x:c>
    </x:row>
    <x:row r="2400">
      <x:c r="A2400" s="17" t="n">
        <x:v>45467</x:v>
      </x:c>
      <x:c r="B2400" s="20" t="n">
        <x:v>0.055</x:v>
      </x:c>
    </x:row>
    <x:row r="2401">
      <x:c r="A2401" s="17" t="n">
        <x:v>45468</x:v>
      </x:c>
      <x:c r="B2401" s="20" t="n">
        <x:v>0.055</x:v>
      </x:c>
    </x:row>
    <x:row r="2402">
      <x:c r="A2402" s="17" t="n">
        <x:v>45469</x:v>
      </x:c>
      <x:c r="B2402" s="20" t="n">
        <x:v>0.055</x:v>
      </x:c>
    </x:row>
    <x:row r="2403">
      <x:c r="A2403" s="17" t="n">
        <x:v>45470</x:v>
      </x:c>
      <x:c r="B2403" s="20" t="n">
        <x:v>0.055</x:v>
      </x:c>
    </x:row>
    <x:row r="2404">
      <x:c r="A2404" s="17" t="n">
        <x:v>45471</x:v>
      </x:c>
      <x:c r="B2404" s="20" t="n">
        <x:v>0.055</x:v>
      </x:c>
    </x:row>
    <x:row r="2405">
      <x:c r="A2405" s="17" t="n">
        <x:v>45472</x:v>
      </x:c>
      <x:c r="B2405" s="20" t="n">
        <x:v>0.055</x:v>
      </x:c>
    </x:row>
    <x:row r="2406">
      <x:c r="A2406" s="17" t="n">
        <x:v>45473</x:v>
      </x:c>
      <x:c r="B2406" s="20" t="n">
        <x:v>0.055</x:v>
      </x:c>
    </x:row>
    <x:row r="2407">
      <x:c r="A2407" s="17" t="n">
        <x:v>45474</x:v>
      </x:c>
      <x:c r="B2407" s="20" t="n">
        <x:v>0.055</x:v>
      </x:c>
    </x:row>
    <x:row r="2408">
      <x:c r="A2408" s="17" t="n">
        <x:v>45475</x:v>
      </x:c>
      <x:c r="B2408" s="20" t="n">
        <x:v>0.055</x:v>
      </x:c>
    </x:row>
    <x:row r="2409">
      <x:c r="A2409" s="17" t="n">
        <x:v>45476</x:v>
      </x:c>
      <x:c r="B2409" s="20" t="n">
        <x:v>0.055</x:v>
      </x:c>
    </x:row>
    <x:row r="2410">
      <x:c r="A2410" s="17" t="n">
        <x:v>45477</x:v>
      </x:c>
      <x:c r="B2410" s="20" t="n">
        <x:v>0.055</x:v>
      </x:c>
    </x:row>
    <x:row r="2411">
      <x:c r="A2411" s="17" t="n">
        <x:v>45478</x:v>
      </x:c>
      <x:c r="B2411" s="20" t="n">
        <x:v>0.055</x:v>
      </x:c>
    </x:row>
    <x:row r="2412">
      <x:c r="A2412" s="17" t="n">
        <x:v>45479</x:v>
      </x:c>
      <x:c r="B2412" s="20" t="n">
        <x:v>0.055</x:v>
      </x:c>
    </x:row>
    <x:row r="2413">
      <x:c r="A2413" s="17" t="n">
        <x:v>45480</x:v>
      </x:c>
      <x:c r="B2413" s="20" t="n">
        <x:v>0.055</x:v>
      </x:c>
    </x:row>
    <x:row r="2414">
      <x:c r="A2414" s="17" t="n">
        <x:v>45481</x:v>
      </x:c>
      <x:c r="B2414" s="20" t="n">
        <x:v>0.055</x:v>
      </x:c>
    </x:row>
    <x:row r="2415">
      <x:c r="A2415" s="17" t="n">
        <x:v>45482</x:v>
      </x:c>
      <x:c r="B2415" s="20" t="n">
        <x:v>0.055</x:v>
      </x:c>
    </x:row>
    <x:row r="2416">
      <x:c r="A2416" s="17" t="n">
        <x:v>45483</x:v>
      </x:c>
      <x:c r="B2416" s="20" t="n">
        <x:v>0.055</x:v>
      </x:c>
    </x:row>
    <x:row r="2417">
      <x:c r="A2417" s="17" t="n">
        <x:v>45484</x:v>
      </x:c>
      <x:c r="B2417" s="20" t="n">
        <x:v>0.055</x:v>
      </x:c>
    </x:row>
    <x:row r="2418">
      <x:c r="A2418" s="17" t="n">
        <x:v>45485</x:v>
      </x:c>
      <x:c r="B2418" s="20" t="n">
        <x:v>0.055</x:v>
      </x:c>
    </x:row>
    <x:row r="2419">
      <x:c r="A2419" s="17" t="n">
        <x:v>45486</x:v>
      </x:c>
      <x:c r="B2419" s="20" t="n">
        <x:v>0.055</x:v>
      </x:c>
    </x:row>
    <x:row r="2420">
      <x:c r="A2420" s="17" t="n">
        <x:v>45487</x:v>
      </x:c>
      <x:c r="B2420" s="20" t="n">
        <x:v>0.055</x:v>
      </x:c>
    </x:row>
    <x:row r="2421">
      <x:c r="A2421" s="17" t="n">
        <x:v>45488</x:v>
      </x:c>
      <x:c r="B2421" s="20" t="n">
        <x:v>0.055</x:v>
      </x:c>
    </x:row>
    <x:row r="2422">
      <x:c r="A2422" s="17" t="n">
        <x:v>45489</x:v>
      </x:c>
      <x:c r="B2422" s="20" t="n">
        <x:v>0.055</x:v>
      </x:c>
    </x:row>
    <x:row r="2423">
      <x:c r="A2423" s="17" t="n">
        <x:v>45490</x:v>
      </x:c>
      <x:c r="B2423" s="20" t="n">
        <x:v>0.055</x:v>
      </x:c>
    </x:row>
    <x:row r="2424">
      <x:c r="A2424" s="17" t="n">
        <x:v>45491</x:v>
      </x:c>
      <x:c r="B2424" s="20" t="n">
        <x:v>0.055</x:v>
      </x:c>
    </x:row>
    <x:row r="2425">
      <x:c r="A2425" s="17" t="n">
        <x:v>45492</x:v>
      </x:c>
      <x:c r="B2425" s="20" t="n">
        <x:v>0.055</x:v>
      </x:c>
    </x:row>
    <x:row r="2426">
      <x:c r="A2426" s="17" t="n">
        <x:v>45493</x:v>
      </x:c>
      <x:c r="B2426" s="20" t="n">
        <x:v>0.055</x:v>
      </x:c>
    </x:row>
    <x:row r="2427">
      <x:c r="A2427" s="17" t="n">
        <x:v>45494</x:v>
      </x:c>
      <x:c r="B2427" s="20" t="n">
        <x:v>0.055</x:v>
      </x:c>
    </x:row>
    <x:row r="2428">
      <x:c r="A2428" s="17" t="n">
        <x:v>45495</x:v>
      </x:c>
      <x:c r="B2428" s="20" t="n">
        <x:v>0.055</x:v>
      </x:c>
    </x:row>
    <x:row r="2429">
      <x:c r="A2429" s="17" t="n">
        <x:v>45496</x:v>
      </x:c>
      <x:c r="B2429" s="20" t="n">
        <x:v>0.055</x:v>
      </x:c>
    </x:row>
    <x:row r="2430">
      <x:c r="A2430" s="17" t="n">
        <x:v>45497</x:v>
      </x:c>
      <x:c r="B2430" s="20" t="n">
        <x:v>0.055</x:v>
      </x:c>
    </x:row>
    <x:row r="2431">
      <x:c r="A2431" s="17" t="n">
        <x:v>45498</x:v>
      </x:c>
      <x:c r="B2431" s="20" t="n">
        <x:v>0.055</x:v>
      </x:c>
    </x:row>
    <x:row r="2432">
      <x:c r="A2432" s="17" t="n">
        <x:v>45499</x:v>
      </x:c>
      <x:c r="B2432" s="20" t="n">
        <x:v>0.055</x:v>
      </x:c>
    </x:row>
    <x:row r="2433">
      <x:c r="A2433" s="17" t="n">
        <x:v>45500</x:v>
      </x:c>
      <x:c r="B2433" s="20" t="n">
        <x:v>0.055</x:v>
      </x:c>
    </x:row>
    <x:row r="2434">
      <x:c r="A2434" s="17" t="n">
        <x:v>45501</x:v>
      </x:c>
      <x:c r="B2434" s="20" t="n">
        <x:v>0.055</x:v>
      </x:c>
    </x:row>
    <x:row r="2435">
      <x:c r="A2435" s="17" t="n">
        <x:v>45502</x:v>
      </x:c>
      <x:c r="B2435" s="20" t="n">
        <x:v>0.055</x:v>
      </x:c>
    </x:row>
    <x:row r="2436">
      <x:c r="A2436" s="17" t="n">
        <x:v>45503</x:v>
      </x:c>
      <x:c r="B2436" s="20" t="n">
        <x:v>0.055</x:v>
      </x:c>
    </x:row>
    <x:row r="2437">
      <x:c r="A2437" s="17" t="n">
        <x:v>45504</x:v>
      </x:c>
      <x:c r="B2437" s="20" t="n">
        <x:v>0.055</x:v>
      </x:c>
    </x:row>
    <x:row r="2438">
      <x:c r="A2438" s="17" t="n">
        <x:v>45505</x:v>
      </x:c>
      <x:c r="B2438" s="20" t="n">
        <x:v>0.055</x:v>
      </x:c>
    </x:row>
    <x:row r="2439">
      <x:c r="A2439" s="17" t="n">
        <x:v>45506</x:v>
      </x:c>
      <x:c r="B2439" s="20" t="n">
        <x:v>0.055</x:v>
      </x:c>
    </x:row>
    <x:row r="2440">
      <x:c r="A2440" s="17" t="n">
        <x:v>45507</x:v>
      </x:c>
      <x:c r="B2440" s="20" t="n">
        <x:v>0.055</x:v>
      </x:c>
    </x:row>
    <x:row r="2441">
      <x:c r="A2441" s="17" t="n">
        <x:v>45508</x:v>
      </x:c>
      <x:c r="B2441" s="20" t="n">
        <x:v>0.055</x:v>
      </x:c>
    </x:row>
    <x:row r="2442">
      <x:c r="A2442" s="17" t="n">
        <x:v>45509</x:v>
      </x:c>
      <x:c r="B2442" s="20" t="n">
        <x:v>0.055</x:v>
      </x:c>
    </x:row>
    <x:row r="2443">
      <x:c r="A2443" s="17" t="n">
        <x:v>45510</x:v>
      </x:c>
      <x:c r="B2443" s="20" t="n">
        <x:v>0.055</x:v>
      </x:c>
    </x:row>
    <x:row r="2444">
      <x:c r="A2444" s="17" t="n">
        <x:v>45511</x:v>
      </x:c>
      <x:c r="B2444" s="20" t="n">
        <x:v>0.055</x:v>
      </x:c>
    </x:row>
    <x:row r="2445">
      <x:c r="A2445" s="17" t="n">
        <x:v>45512</x:v>
      </x:c>
      <x:c r="B2445" s="20" t="n">
        <x:v>0.055</x:v>
      </x:c>
    </x:row>
    <x:row r="2446">
      <x:c r="A2446" s="17" t="n">
        <x:v>45513</x:v>
      </x:c>
      <x:c r="B2446" s="20" t="n">
        <x:v>0.055</x:v>
      </x:c>
    </x:row>
    <x:row r="2447">
      <x:c r="A2447" s="17" t="n">
        <x:v>45514</x:v>
      </x:c>
      <x:c r="B2447" s="20" t="n">
        <x:v>0.055</x:v>
      </x:c>
    </x:row>
    <x:row r="2448">
      <x:c r="A2448" s="17" t="n">
        <x:v>45515</x:v>
      </x:c>
      <x:c r="B2448" s="20" t="n">
        <x:v>0.055</x:v>
      </x:c>
    </x:row>
    <x:row r="2449">
      <x:c r="A2449" s="17" t="n">
        <x:v>45516</x:v>
      </x:c>
      <x:c r="B2449" s="20" t="n">
        <x:v>0.055</x:v>
      </x:c>
    </x:row>
    <x:row r="2450">
      <x:c r="A2450" s="17" t="n">
        <x:v>45517</x:v>
      </x:c>
      <x:c r="B2450" s="20" t="n">
        <x:v>0.055</x:v>
      </x:c>
    </x:row>
    <x:row r="2451">
      <x:c r="A2451" s="17" t="n">
        <x:v>45518</x:v>
      </x:c>
      <x:c r="B2451" s="20" t="n">
        <x:v>0.055</x:v>
      </x:c>
    </x:row>
    <x:row r="2452">
      <x:c r="A2452" s="17" t="n">
        <x:v>45519</x:v>
      </x:c>
      <x:c r="B2452" s="20" t="n">
        <x:v>0.055</x:v>
      </x:c>
    </x:row>
    <x:row r="2453">
      <x:c r="A2453" s="17" t="n">
        <x:v>45520</x:v>
      </x:c>
      <x:c r="B2453" s="20" t="n">
        <x:v>0.055</x:v>
      </x:c>
    </x:row>
    <x:row r="2454">
      <x:c r="A2454" s="17" t="n">
        <x:v>45521</x:v>
      </x:c>
      <x:c r="B2454" s="20" t="n">
        <x:v>0.055</x:v>
      </x:c>
    </x:row>
    <x:row r="2455">
      <x:c r="A2455" s="17" t="n">
        <x:v>45522</x:v>
      </x:c>
      <x:c r="B2455" s="20" t="n">
        <x:v>0.055</x:v>
      </x:c>
    </x:row>
    <x:row r="2456">
      <x:c r="A2456" s="17" t="n">
        <x:v>45523</x:v>
      </x:c>
      <x:c r="B2456" s="20" t="n">
        <x:v>0.055</x:v>
      </x:c>
    </x:row>
    <x:row r="2457">
      <x:c r="A2457" s="17" t="n">
        <x:v>45524</x:v>
      </x:c>
      <x:c r="B2457" s="20" t="n">
        <x:v>0.055</x:v>
      </x:c>
    </x:row>
    <x:row r="2458">
      <x:c r="A2458" s="17" t="n">
        <x:v>45525</x:v>
      </x:c>
      <x:c r="B2458" s="20" t="n">
        <x:v>0.055</x:v>
      </x:c>
    </x:row>
    <x:row r="2459">
      <x:c r="A2459" s="17" t="n">
        <x:v>45526</x:v>
      </x:c>
      <x:c r="B2459" s="20" t="n">
        <x:v>0.055</x:v>
      </x:c>
    </x:row>
    <x:row r="2460">
      <x:c r="A2460" s="17" t="n">
        <x:v>45527</x:v>
      </x:c>
      <x:c r="B2460" s="20" t="n">
        <x:v>0.055</x:v>
      </x:c>
    </x:row>
    <x:row r="2461">
      <x:c r="A2461" s="17" t="n">
        <x:v>45528</x:v>
      </x:c>
      <x:c r="B2461" s="20" t="n">
        <x:v>0.055</x:v>
      </x:c>
    </x:row>
    <x:row r="2462">
      <x:c r="A2462" s="17" t="n">
        <x:v>45529</x:v>
      </x:c>
      <x:c r="B2462" s="20" t="n">
        <x:v>0.055</x:v>
      </x:c>
    </x:row>
    <x:row r="2463">
      <x:c r="A2463" s="17" t="n">
        <x:v>45530</x:v>
      </x:c>
      <x:c r="B2463" s="20" t="n">
        <x:v>0.055</x:v>
      </x:c>
    </x:row>
    <x:row r="2464">
      <x:c r="A2464" s="17" t="n">
        <x:v>45531</x:v>
      </x:c>
      <x:c r="B2464" s="20" t="n">
        <x:v>0.055</x:v>
      </x:c>
    </x:row>
    <x:row r="2465">
      <x:c r="A2465" s="17" t="n">
        <x:v>45532</x:v>
      </x:c>
      <x:c r="B2465" s="20" t="n">
        <x:v>0.055</x:v>
      </x:c>
    </x:row>
    <x:row r="2466">
      <x:c r="A2466" s="17" t="n">
        <x:v>45533</x:v>
      </x:c>
      <x:c r="B2466" s="20" t="n">
        <x:v>0.055</x:v>
      </x:c>
    </x:row>
    <x:row r="2467">
      <x:c r="A2467" s="17" t="n">
        <x:v>45534</x:v>
      </x:c>
      <x:c r="B2467" s="20" t="n">
        <x:v>0.055</x:v>
      </x:c>
    </x:row>
    <x:row r="2468">
      <x:c r="A2468" s="17" t="n">
        <x:v>45535</x:v>
      </x:c>
      <x:c r="B2468" s="20" t="n">
        <x:v>0.055</x:v>
      </x:c>
    </x:row>
    <x:row r="2469">
      <x:c r="A2469" s="17" t="n">
        <x:v>45536</x:v>
      </x:c>
      <x:c r="B2469" s="20" t="n">
        <x:v>0.055</x:v>
      </x:c>
    </x:row>
    <x:row r="2470">
      <x:c r="A2470" s="17" t="n">
        <x:v>45537</x:v>
      </x:c>
      <x:c r="B2470" s="20" t="n">
        <x:v>0.055</x:v>
      </x:c>
    </x:row>
    <x:row r="2471">
      <x:c r="A2471" s="17" t="n">
        <x:v>45538</x:v>
      </x:c>
      <x:c r="B2471" s="20" t="n">
        <x:v>0.055</x:v>
      </x:c>
    </x:row>
    <x:row r="2472">
      <x:c r="A2472" s="17" t="n">
        <x:v>45539</x:v>
      </x:c>
      <x:c r="B2472" s="20" t="n">
        <x:v>0.055</x:v>
      </x:c>
    </x:row>
    <x:row r="2473">
      <x:c r="A2473" s="17" t="n">
        <x:v>45540</x:v>
      </x:c>
      <x:c r="B2473" s="20" t="n">
        <x:v>0.055</x:v>
      </x:c>
    </x:row>
    <x:row r="2474">
      <x:c r="A2474" s="17" t="n">
        <x:v>45541</x:v>
      </x:c>
      <x:c r="B2474" s="20" t="n">
        <x:v>0.055</x:v>
      </x:c>
    </x:row>
    <x:row r="2475">
      <x:c r="A2475" s="17" t="n">
        <x:v>45542</x:v>
      </x:c>
      <x:c r="B2475" s="20" t="n">
        <x:v>0.055</x:v>
      </x:c>
    </x:row>
    <x:row r="2476">
      <x:c r="A2476" s="17" t="n">
        <x:v>45543</x:v>
      </x:c>
      <x:c r="B2476" s="20" t="n">
        <x:v>0.055</x:v>
      </x:c>
    </x:row>
    <x:row r="2477">
      <x:c r="A2477" s="17" t="n">
        <x:v>45544</x:v>
      </x:c>
      <x:c r="B2477" s="20" t="n">
        <x:v>0.055</x:v>
      </x:c>
    </x:row>
    <x:row r="2478">
      <x:c r="A2478" s="17" t="n">
        <x:v>45545</x:v>
      </x:c>
      <x:c r="B2478" s="20" t="n">
        <x:v>0.055</x:v>
      </x:c>
    </x:row>
    <x:row r="2479">
      <x:c r="A2479" s="17" t="n">
        <x:v>45546</x:v>
      </x:c>
      <x:c r="B2479" s="20" t="n">
        <x:v>0.055</x:v>
      </x:c>
    </x:row>
    <x:row r="2480">
      <x:c r="A2480" s="17" t="n">
        <x:v>45547</x:v>
      </x:c>
      <x:c r="B2480" s="20" t="n">
        <x:v>0.055</x:v>
      </x:c>
    </x:row>
    <x:row r="2481">
      <x:c r="A2481" s="17" t="n">
        <x:v>45548</x:v>
      </x:c>
      <x:c r="B2481" s="20" t="n">
        <x:v>0.055</x:v>
      </x:c>
    </x:row>
    <x:row r="2482">
      <x:c r="A2482" s="17" t="n">
        <x:v>45549</x:v>
      </x:c>
      <x:c r="B2482" s="20" t="n">
        <x:v>0.055</x:v>
      </x:c>
    </x:row>
    <x:row r="2483">
      <x:c r="A2483" s="17" t="n">
        <x:v>45550</x:v>
      </x:c>
      <x:c r="B2483" s="20" t="n">
        <x:v>0.055</x:v>
      </x:c>
    </x:row>
    <x:row r="2484">
      <x:c r="A2484" s="17" t="n">
        <x:v>45551</x:v>
      </x:c>
      <x:c r="B2484" s="20" t="n">
        <x:v>0.055</x:v>
      </x:c>
    </x:row>
    <x:row r="2485">
      <x:c r="A2485" s="17" t="n">
        <x:v>45552</x:v>
      </x:c>
      <x:c r="B2485" s="20" t="n">
        <x:v>0.055</x:v>
      </x:c>
    </x:row>
    <x:row r="2486">
      <x:c r="A2486" s="17" t="n">
        <x:v>45553</x:v>
      </x:c>
      <x:c r="B2486" s="20" t="n">
        <x:v>0.055</x:v>
      </x:c>
    </x:row>
    <x:row r="2487">
      <x:c r="A2487" s="17" t="n">
        <x:v>45554</x:v>
      </x:c>
      <x:c r="B2487" s="20" t="n">
        <x:v>0.05</x:v>
      </x:c>
    </x:row>
    <x:row r="2488">
      <x:c r="A2488" s="17" t="n">
        <x:v>45555</x:v>
      </x:c>
      <x:c r="B2488" s="20" t="n">
        <x:v>0.05</x:v>
      </x:c>
    </x:row>
    <x:row r="2489">
      <x:c r="A2489" s="17" t="n">
        <x:v>45556</x:v>
      </x:c>
      <x:c r="B2489" s="20" t="n">
        <x:v>0.05</x:v>
      </x:c>
    </x:row>
    <x:row r="2490">
      <x:c r="A2490" s="17" t="n">
        <x:v>45557</x:v>
      </x:c>
      <x:c r="B2490" s="20" t="n">
        <x:v>0.05</x:v>
      </x:c>
    </x:row>
    <x:row r="2491">
      <x:c r="A2491" s="17" t="n">
        <x:v>45558</x:v>
      </x:c>
      <x:c r="B2491" s="20" t="n">
        <x:v>0.05</x:v>
      </x:c>
    </x:row>
    <x:row r="2492">
      <x:c r="A2492" s="17" t="n">
        <x:v>45559</x:v>
      </x:c>
      <x:c r="B2492" s="20" t="n">
        <x:v>0.05</x:v>
      </x:c>
    </x:row>
    <x:row r="2493">
      <x:c r="A2493" s="17" t="n">
        <x:v>45560</x:v>
      </x:c>
      <x:c r="B2493" s="20" t="n">
        <x:v>0.05</x:v>
      </x:c>
    </x:row>
    <x:row r="2494">
      <x:c r="A2494" s="17" t="n">
        <x:v>45561</x:v>
      </x:c>
      <x:c r="B2494" s="20" t="n">
        <x:v>0.05</x:v>
      </x:c>
    </x:row>
    <x:row r="2495">
      <x:c r="A2495" s="17" t="n">
        <x:v>45562</x:v>
      </x:c>
      <x:c r="B2495" s="20" t="n">
        <x:v>0.05</x:v>
      </x:c>
    </x:row>
    <x:row r="2496">
      <x:c r="A2496" s="17" t="n">
        <x:v>45563</x:v>
      </x:c>
      <x:c r="B2496" s="20" t="n">
        <x:v>0.05</x:v>
      </x:c>
    </x:row>
    <x:row r="2497">
      <x:c r="A2497" s="17" t="n">
        <x:v>45564</x:v>
      </x:c>
      <x:c r="B2497" s="20" t="n">
        <x:v>0.05</x:v>
      </x:c>
    </x:row>
    <x:row r="2498">
      <x:c r="A2498" s="17" t="n">
        <x:v>45565</x:v>
      </x:c>
      <x:c r="B2498" s="20" t="n">
        <x:v>0.05</x:v>
      </x:c>
    </x:row>
    <x:row r="2499">
      <x:c r="A2499" s="17" t="n">
        <x:v>45566</x:v>
      </x:c>
      <x:c r="B2499" s="20" t="n">
        <x:v>0.05</x:v>
      </x:c>
    </x:row>
    <x:row r="2500">
      <x:c r="A2500" s="17" t="n">
        <x:v>45567</x:v>
      </x:c>
      <x:c r="B2500" s="20" t="n">
        <x:v>0.05</x:v>
      </x:c>
    </x:row>
    <x:row r="2501">
      <x:c r="A2501" s="17" t="n">
        <x:v>45568</x:v>
      </x:c>
      <x:c r="B2501" s="20" t="n">
        <x:v>0.05</x:v>
      </x:c>
    </x:row>
    <x:row r="2502">
      <x:c r="A2502" s="17" t="n">
        <x:v>45569</x:v>
      </x:c>
      <x:c r="B2502" s="20" t="n">
        <x:v>0.05</x:v>
      </x:c>
    </x:row>
    <x:row r="2503">
      <x:c r="A2503" s="17" t="n">
        <x:v>45570</x:v>
      </x:c>
      <x:c r="B2503" s="20" t="n">
        <x:v>0.05</x:v>
      </x:c>
    </x:row>
    <x:row r="2504">
      <x:c r="A2504" s="17" t="n">
        <x:v>45571</x:v>
      </x:c>
      <x:c r="B2504" s="20" t="n">
        <x:v>0.05</x:v>
      </x:c>
    </x:row>
    <x:row r="2505">
      <x:c r="A2505" s="17" t="n">
        <x:v>45572</x:v>
      </x:c>
      <x:c r="B2505" s="20" t="n">
        <x:v>0.05</x:v>
      </x:c>
    </x:row>
    <x:row r="2506">
      <x:c r="A2506" s="17" t="n">
        <x:v>45573</x:v>
      </x:c>
      <x:c r="B2506" s="20" t="n">
        <x:v>0.05</x:v>
      </x:c>
    </x:row>
    <x:row r="2507">
      <x:c r="A2507" s="17" t="n">
        <x:v>45574</x:v>
      </x:c>
      <x:c r="B2507" s="20" t="n">
        <x:v>0.05</x:v>
      </x:c>
    </x:row>
    <x:row r="2508">
      <x:c r="A2508" s="17" t="n">
        <x:v>45575</x:v>
      </x:c>
      <x:c r="B2508" s="20" t="n">
        <x:v>0.05</x:v>
      </x:c>
    </x:row>
    <x:row r="2509">
      <x:c r="A2509" s="17" t="n">
        <x:v>45576</x:v>
      </x:c>
      <x:c r="B2509" s="20" t="n">
        <x:v>0.05</x:v>
      </x:c>
    </x:row>
    <x:row r="2510">
      <x:c r="A2510" s="17" t="n">
        <x:v>45577</x:v>
      </x:c>
      <x:c r="B2510" s="20" t="n">
        <x:v>0.05</x:v>
      </x:c>
    </x:row>
    <x:row r="2511">
      <x:c r="A2511" s="17" t="n">
        <x:v>45578</x:v>
      </x:c>
      <x:c r="B2511" s="20" t="n">
        <x:v>0.05</x:v>
      </x:c>
    </x:row>
    <x:row r="2512">
      <x:c r="A2512" s="17" t="n">
        <x:v>45579</x:v>
      </x:c>
      <x:c r="B2512" s="20" t="n">
        <x:v>0.05</x:v>
      </x:c>
    </x:row>
    <x:row r="2513">
      <x:c r="A2513" s="17" t="n">
        <x:v>45580</x:v>
      </x:c>
      <x:c r="B2513" s="20" t="n">
        <x:v>0.05</x:v>
      </x:c>
    </x:row>
    <x:row r="2514">
      <x:c r="A2514" s="17" t="n">
        <x:v>45581</x:v>
      </x:c>
      <x:c r="B2514" s="20" t="n">
        <x:v>0.05</x:v>
      </x:c>
    </x:row>
    <x:row r="2515">
      <x:c r="A2515" s="17" t="n">
        <x:v>45582</x:v>
      </x:c>
      <x:c r="B2515" s="20" t="n">
        <x:v>0.05</x:v>
      </x:c>
    </x:row>
    <x:row r="2516">
      <x:c r="A2516" s="17" t="n">
        <x:v>45583</x:v>
      </x:c>
      <x:c r="B2516" s="20" t="n">
        <x:v>0.05</x:v>
      </x:c>
    </x:row>
    <x:row r="2517">
      <x:c r="A2517" s="17" t="n">
        <x:v>45584</x:v>
      </x:c>
      <x:c r="B2517" s="20" t="n">
        <x:v>0.05</x:v>
      </x:c>
    </x:row>
    <x:row r="2518">
      <x:c r="A2518" s="17" t="n">
        <x:v>45585</x:v>
      </x:c>
      <x:c r="B2518" s="20" t="n">
        <x:v>0.05</x:v>
      </x:c>
    </x:row>
    <x:row r="2519">
      <x:c r="A2519" s="17" t="n">
        <x:v>45586</x:v>
      </x:c>
      <x:c r="B2519" s="20" t="n">
        <x:v>0.05</x:v>
      </x:c>
    </x:row>
    <x:row r="2520">
      <x:c r="A2520" s="17" t="n">
        <x:v>45587</x:v>
      </x:c>
      <x:c r="B2520" s="20" t="n">
        <x:v>0.05</x:v>
      </x:c>
    </x:row>
    <x:row r="2521">
      <x:c r="A2521" s="17" t="n">
        <x:v>45588</x:v>
      </x:c>
      <x:c r="B2521" s="20" t="n">
        <x:v>0.05</x:v>
      </x:c>
    </x:row>
    <x:row r="2522">
      <x:c r="A2522" s="17" t="n">
        <x:v>45589</x:v>
      </x:c>
      <x:c r="B2522" s="20" t="n">
        <x:v>0.05</x:v>
      </x:c>
    </x:row>
    <x:row r="2523">
      <x:c r="A2523" s="17" t="n">
        <x:v>45590</x:v>
      </x:c>
      <x:c r="B2523" s="20" t="n">
        <x:v>0.05</x:v>
      </x:c>
    </x:row>
    <x:row r="2524">
      <x:c r="A2524" s="17" t="n">
        <x:v>45591</x:v>
      </x:c>
      <x:c r="B2524" s="20" t="n">
        <x:v>0.05</x:v>
      </x:c>
    </x:row>
    <x:row r="2525">
      <x:c r="A2525" s="17" t="n">
        <x:v>45592</x:v>
      </x:c>
      <x:c r="B2525" s="20" t="n">
        <x:v>0.05</x:v>
      </x:c>
    </x:row>
    <x:row r="2526">
      <x:c r="A2526" s="17" t="n">
        <x:v>45593</x:v>
      </x:c>
      <x:c r="B2526" s="20" t="n">
        <x:v>0.05</x:v>
      </x:c>
    </x:row>
    <x:row r="2527">
      <x:c r="A2527" s="17" t="n">
        <x:v>45594</x:v>
      </x:c>
      <x:c r="B2527" s="20" t="n">
        <x:v>0.05</x:v>
      </x:c>
    </x:row>
    <x:row r="2528">
      <x:c r="A2528" s="17" t="n">
        <x:v>45595</x:v>
      </x:c>
      <x:c r="B2528" s="20" t="n">
        <x:v>0.05</x:v>
      </x:c>
    </x:row>
    <x:row r="2529">
      <x:c r="A2529" s="17" t="n">
        <x:v>45596</x:v>
      </x:c>
      <x:c r="B2529" s="20" t="n">
        <x:v>0.05</x:v>
      </x:c>
    </x:row>
    <x:row r="2530">
      <x:c r="A2530" s="17" t="n">
        <x:v>45597</x:v>
      </x:c>
      <x:c r="B2530" s="20" t="n">
        <x:v>0.05</x:v>
      </x:c>
    </x:row>
    <x:row r="2531">
      <x:c r="A2531" s="17" t="n">
        <x:v>45598</x:v>
      </x:c>
      <x:c r="B2531" s="20" t="n">
        <x:v>0.05</x:v>
      </x:c>
    </x:row>
    <x:row r="2532">
      <x:c r="A2532" s="17" t="n">
        <x:v>45599</x:v>
      </x:c>
      <x:c r="B2532" s="20" t="n">
        <x:v>0.05</x:v>
      </x:c>
    </x:row>
    <x:row r="2533">
      <x:c r="A2533" s="17" t="n">
        <x:v>45600</x:v>
      </x:c>
      <x:c r="B2533" s="20" t="n">
        <x:v>0.05</x:v>
      </x:c>
    </x:row>
    <x:row r="2534">
      <x:c r="A2534" s="17" t="n">
        <x:v>45601</x:v>
      </x:c>
      <x:c r="B2534" s="20" t="n">
        <x:v>0.05</x:v>
      </x:c>
    </x:row>
    <x:row r="2535">
      <x:c r="A2535" s="17" t="n">
        <x:v>45602</x:v>
      </x:c>
      <x:c r="B2535" s="20" t="n">
        <x:v>0.05</x:v>
      </x:c>
    </x:row>
    <x:row r="2536">
      <x:c r="A2536" s="17" t="n">
        <x:v>45603</x:v>
      </x:c>
      <x:c r="B2536" s="20" t="n">
        <x:v>0.05</x:v>
      </x:c>
    </x:row>
    <x:row r="2537">
      <x:c r="A2537" s="17" t="n">
        <x:v>45604</x:v>
      </x:c>
      <x:c r="B2537" s="20" t="n">
        <x:v>0.0475</x:v>
      </x:c>
    </x:row>
    <x:row r="2538">
      <x:c r="A2538" s="17" t="n">
        <x:v>45605</x:v>
      </x:c>
      <x:c r="B2538" s="20" t="n">
        <x:v>0.0475</x:v>
      </x:c>
    </x:row>
    <x:row r="2539">
      <x:c r="A2539" s="17" t="n">
        <x:v>45606</x:v>
      </x:c>
      <x:c r="B2539" s="20" t="n">
        <x:v>0.0475</x:v>
      </x:c>
    </x:row>
    <x:row r="2540">
      <x:c r="A2540" s="17" t="n">
        <x:v>45607</x:v>
      </x:c>
      <x:c r="B2540" s="20" t="n">
        <x:v>0.0475</x:v>
      </x:c>
    </x:row>
    <x:row r="2541">
      <x:c r="A2541" s="17" t="n">
        <x:v>45608</x:v>
      </x:c>
      <x:c r="B2541" s="20" t="n">
        <x:v>0.0475</x:v>
      </x:c>
    </x:row>
    <x:row r="2542">
      <x:c r="A2542" s="17" t="n">
        <x:v>45609</x:v>
      </x:c>
      <x:c r="B2542" s="20" t="n">
        <x:v>0.0475</x:v>
      </x:c>
    </x:row>
    <x:row r="2543">
      <x:c r="A2543" s="17" t="n">
        <x:v>45610</x:v>
      </x:c>
      <x:c r="B2543" s="20" t="n">
        <x:v>0.0475</x:v>
      </x:c>
    </x:row>
    <x:row r="2544">
      <x:c r="A2544" s="17" t="n">
        <x:v>45611</x:v>
      </x:c>
      <x:c r="B2544" s="20" t="n">
        <x:v>0.0475</x:v>
      </x:c>
    </x:row>
    <x:row r="2545">
      <x:c r="A2545" s="17" t="n">
        <x:v>45612</x:v>
      </x:c>
      <x:c r="B2545" s="20" t="n">
        <x:v>0.0475</x:v>
      </x:c>
    </x:row>
    <x:row r="2546">
      <x:c r="A2546" s="17" t="n">
        <x:v>45613</x:v>
      </x:c>
      <x:c r="B2546" s="20" t="n">
        <x:v>0.0475</x:v>
      </x:c>
    </x:row>
    <x:row r="2547">
      <x:c r="A2547" s="17" t="n">
        <x:v>45614</x:v>
      </x:c>
      <x:c r="B2547" s="20" t="n">
        <x:v>0.0475</x:v>
      </x:c>
    </x:row>
    <x:row r="2548">
      <x:c r="A2548" s="17" t="n">
        <x:v>45615</x:v>
      </x:c>
      <x:c r="B2548" s="20" t="n">
        <x:v>0.0475</x:v>
      </x:c>
    </x:row>
    <x:row r="2549">
      <x:c r="A2549" s="17" t="n">
        <x:v>45616</x:v>
      </x:c>
      <x:c r="B2549" s="20" t="n">
        <x:v>0.0475</x:v>
      </x:c>
    </x:row>
    <x:row r="2550">
      <x:c r="A2550" s="17" t="n">
        <x:v>45617</x:v>
      </x:c>
      <x:c r="B2550" s="20" t="n">
        <x:v>0.0475</x:v>
      </x:c>
    </x:row>
    <x:row r="2551">
      <x:c r="A2551" s="17" t="n">
        <x:v>45618</x:v>
      </x:c>
      <x:c r="B2551" s="20" t="n">
        <x:v>0.0475</x:v>
      </x:c>
    </x:row>
    <x:row r="2552">
      <x:c r="A2552" s="17" t="n">
        <x:v>45619</x:v>
      </x:c>
      <x:c r="B2552" s="20" t="n">
        <x:v>0.0475</x:v>
      </x:c>
    </x:row>
    <x:row r="2553">
      <x:c r="A2553" s="17" t="n">
        <x:v>45620</x:v>
      </x:c>
      <x:c r="B2553" s="20" t="n">
        <x:v>0.0475</x:v>
      </x:c>
    </x:row>
    <x:row r="2554">
      <x:c r="A2554" s="17" t="n">
        <x:v>45621</x:v>
      </x:c>
      <x:c r="B2554" s="20" t="n">
        <x:v>0.0475</x:v>
      </x:c>
    </x:row>
    <x:row r="2555">
      <x:c r="A2555" s="17" t="n">
        <x:v>45622</x:v>
      </x:c>
      <x:c r="B2555" s="20" t="n">
        <x:v>0.0475</x:v>
      </x:c>
    </x:row>
    <x:row r="2556">
      <x:c r="A2556" s="17" t="n">
        <x:v>45623</x:v>
      </x:c>
      <x:c r="B2556" s="20" t="n">
        <x:v>0.0475</x:v>
      </x:c>
    </x:row>
    <x:row r="2557">
      <x:c r="A2557" s="17" t="n">
        <x:v>45624</x:v>
      </x:c>
      <x:c r="B2557" s="20" t="n">
        <x:v>0.0475</x:v>
      </x:c>
    </x:row>
    <x:row r="2558">
      <x:c r="A2558" s="17" t="n">
        <x:v>45625</x:v>
      </x:c>
      <x:c r="B2558" s="20" t="n">
        <x:v>0.0475</x:v>
      </x:c>
    </x:row>
    <x:row r="2559">
      <x:c r="A2559" s="17" t="n">
        <x:v>45626</x:v>
      </x:c>
      <x:c r="B2559" s="20" t="n">
        <x:v>0.0475</x:v>
      </x:c>
    </x:row>
    <x:row r="2560">
      <x:c r="A2560" s="17" t="n">
        <x:v>45627</x:v>
      </x:c>
      <x:c r="B2560" s="20" t="n">
        <x:v>0.0475</x:v>
      </x:c>
    </x:row>
    <x:row r="2561">
      <x:c r="A2561" s="17" t="n">
        <x:v>45628</x:v>
      </x:c>
      <x:c r="B2561" s="20" t="n">
        <x:v>0.0475</x:v>
      </x:c>
    </x:row>
    <x:row r="2562">
      <x:c r="A2562" s="17" t="n">
        <x:v>45629</x:v>
      </x:c>
      <x:c r="B2562" s="20" t="n">
        <x:v>0.0475</x:v>
      </x:c>
    </x:row>
    <x:row r="2563">
      <x:c r="A2563" s="17" t="n">
        <x:v>45630</x:v>
      </x:c>
      <x:c r="B2563" s="20" t="n">
        <x:v>0.0475</x:v>
      </x:c>
    </x:row>
    <x:row r="2564">
      <x:c r="A2564" s="17" t="n">
        <x:v>45631</x:v>
      </x:c>
      <x:c r="B2564" s="20" t="n">
        <x:v>0.0475</x:v>
      </x:c>
    </x:row>
    <x:row r="2565">
      <x:c r="A2565" s="17" t="n">
        <x:v>45632</x:v>
      </x:c>
      <x:c r="B2565" s="20" t="n">
        <x:v>0.0475</x:v>
      </x:c>
    </x:row>
    <x:row r="2566">
      <x:c r="A2566" s="17" t="n">
        <x:v>45633</x:v>
      </x:c>
      <x:c r="B2566" s="20" t="n">
        <x:v>0.0475</x:v>
      </x:c>
    </x:row>
    <x:row r="2567">
      <x:c r="A2567" s="17" t="n">
        <x:v>45634</x:v>
      </x:c>
      <x:c r="B2567" s="20" t="n">
        <x:v>0.0475</x:v>
      </x:c>
    </x:row>
    <x:row r="2568">
      <x:c r="A2568" s="17" t="n">
        <x:v>45635</x:v>
      </x:c>
      <x:c r="B2568" s="20" t="n">
        <x:v>0.0475</x:v>
      </x:c>
    </x:row>
    <x:row r="2569">
      <x:c r="A2569" s="17" t="n">
        <x:v>45636</x:v>
      </x:c>
      <x:c r="B2569" s="20" t="n">
        <x:v>0.0475</x:v>
      </x:c>
    </x:row>
    <x:row r="2570">
      <x:c r="A2570" s="17" t="n">
        <x:v>45637</x:v>
      </x:c>
      <x:c r="B2570" s="20" t="n">
        <x:v>0.0475</x:v>
      </x:c>
    </x:row>
    <x:row r="2571">
      <x:c r="A2571" s="17" t="n">
        <x:v>45638</x:v>
      </x:c>
      <x:c r="B2571" s="20" t="n">
        <x:v>0.0475</x:v>
      </x:c>
    </x:row>
    <x:row r="2572">
      <x:c r="A2572" s="17" t="n">
        <x:v>45639</x:v>
      </x:c>
      <x:c r="B2572" s="20" t="n">
        <x:v>0.0475</x:v>
      </x:c>
    </x:row>
    <x:row r="2573">
      <x:c r="A2573" s="17" t="n">
        <x:v>45640</x:v>
      </x:c>
      <x:c r="B2573" s="20" t="n">
        <x:v>0.0475</x:v>
      </x:c>
    </x:row>
    <x:row r="2574">
      <x:c r="A2574" s="17" t="n">
        <x:v>45641</x:v>
      </x:c>
      <x:c r="B2574" s="20" t="n">
        <x:v>0.0475</x:v>
      </x:c>
    </x:row>
    <x:row r="2575">
      <x:c r="A2575" s="17" t="n">
        <x:v>45642</x:v>
      </x:c>
      <x:c r="B2575" s="20" t="n">
        <x:v>0.0475</x:v>
      </x:c>
    </x:row>
    <x:row r="2576">
      <x:c r="A2576" s="17" t="n">
        <x:v>45643</x:v>
      </x:c>
      <x:c r="B2576" s="20" t="n">
        <x:v>0.0475</x:v>
      </x:c>
    </x:row>
    <x:row r="2577">
      <x:c r="A2577" s="17" t="n">
        <x:v>45644</x:v>
      </x:c>
      <x:c r="B2577" s="20" t="n">
        <x:v>0.0475</x:v>
      </x:c>
    </x:row>
    <x:row r="2578">
      <x:c r="A2578" s="17" t="n">
        <x:v>45645</x:v>
      </x:c>
      <x:c r="B2578" s="20" t="n">
        <x:v>0.045</x:v>
      </x:c>
    </x:row>
    <x:row r="2579">
      <x:c r="A2579" s="17" t="n">
        <x:v>45646</x:v>
      </x:c>
      <x:c r="B2579" s="20" t="n">
        <x:v>0.045</x:v>
      </x:c>
    </x:row>
    <x:row r="2580">
      <x:c r="A2580" s="17" t="n">
        <x:v>45647</x:v>
      </x:c>
      <x:c r="B2580" s="20" t="n">
        <x:v>0.045</x:v>
      </x:c>
    </x:row>
    <x:row r="2581">
      <x:c r="A2581" s="17" t="n">
        <x:v>45648</x:v>
      </x:c>
      <x:c r="B2581" s="20" t="n">
        <x:v>0.045</x:v>
      </x:c>
    </x:row>
    <x:row r="2582">
      <x:c r="A2582" s="17" t="n">
        <x:v>45649</x:v>
      </x:c>
      <x:c r="B2582" s="20" t="n">
        <x:v>0.045</x:v>
      </x:c>
    </x:row>
    <x:row r="2583">
      <x:c r="A2583" s="17" t="n">
        <x:v>45650</x:v>
      </x:c>
      <x:c r="B2583" s="20" t="n">
        <x:v>0.045</x:v>
      </x:c>
    </x:row>
    <x:row r="2584">
      <x:c r="A2584" s="17" t="n">
        <x:v>45651</x:v>
      </x:c>
      <x:c r="B2584" s="20" t="n">
        <x:v>0.045</x:v>
      </x:c>
    </x:row>
    <x:row r="2585">
      <x:c r="A2585" s="17" t="n">
        <x:v>45652</x:v>
      </x:c>
      <x:c r="B2585" s="20" t="n">
        <x:v>0.045</x:v>
      </x:c>
    </x:row>
    <x:row r="2586">
      <x:c r="A2586" s="17" t="n">
        <x:v>45653</x:v>
      </x:c>
      <x:c r="B2586" s="20" t="n">
        <x:v>0.045</x:v>
      </x:c>
    </x:row>
    <x:row r="2587">
      <x:c r="A2587" s="17" t="n">
        <x:v>45654</x:v>
      </x:c>
      <x:c r="B2587" s="20" t="n">
        <x:v>0.045</x:v>
      </x:c>
    </x:row>
    <x:row r="2588">
      <x:c r="A2588" s="17" t="n">
        <x:v>45655</x:v>
      </x:c>
      <x:c r="B2588" s="20" t="n">
        <x:v>0.045</x:v>
      </x:c>
    </x:row>
    <x:row r="2589">
      <x:c r="A2589" s="17" t="n">
        <x:v>45656</x:v>
      </x:c>
      <x:c r="B2589" s="20" t="n">
        <x:v>0.045</x:v>
      </x:c>
    </x:row>
    <x:row r="2590">
      <x:c r="A2590" s="17" t="n">
        <x:v>45657</x:v>
      </x:c>
      <x:c r="B2590" s="20" t="n">
        <x:v>0.045</x:v>
      </x:c>
    </x:row>
    <x:row r="2591">
      <x:c r="A2591" s="17" t="n">
        <x:v>45658</x:v>
      </x:c>
      <x:c r="B2591" s="20" t="n">
        <x:v>0.045</x:v>
      </x:c>
    </x:row>
    <x:row r="2592">
      <x:c r="A2592" s="17" t="n">
        <x:v>45659</x:v>
      </x:c>
      <x:c r="B2592" s="20" t="n">
        <x:v>0.045</x:v>
      </x:c>
    </x:row>
    <x:row r="2593">
      <x:c r="A2593" s="17" t="n">
        <x:v>45660</x:v>
      </x:c>
      <x:c r="B2593" s="20" t="n">
        <x:v>0.045</x:v>
      </x:c>
    </x:row>
    <x:row r="2594">
      <x:c r="A2594" s="17" t="n">
        <x:v>45661</x:v>
      </x:c>
      <x:c r="B2594" s="20" t="n">
        <x:v>0.045</x:v>
      </x:c>
    </x:row>
    <x:row r="2595">
      <x:c r="A2595" s="17" t="n">
        <x:v>45662</x:v>
      </x:c>
      <x:c r="B2595" s="20" t="n">
        <x:v>0.045</x:v>
      </x:c>
    </x:row>
    <x:row r="2596">
      <x:c r="A2596" s="17" t="n">
        <x:v>45663</x:v>
      </x:c>
      <x:c r="B2596" s="20" t="n">
        <x:v>0.045</x:v>
      </x:c>
    </x:row>
    <x:row r="2597">
      <x:c r="A2597" s="17" t="n">
        <x:v>45664</x:v>
      </x:c>
      <x:c r="B2597" s="20" t="n">
        <x:v>0.045</x:v>
      </x:c>
    </x:row>
    <x:row r="2598">
      <x:c r="A2598" s="17" t="n">
        <x:v>45665</x:v>
      </x:c>
      <x:c r="B2598" s="20" t="n">
        <x:v>0.045</x:v>
      </x:c>
    </x:row>
    <x:row r="2599">
      <x:c r="A2599" s="17" t="n">
        <x:v>45666</x:v>
      </x:c>
      <x:c r="B2599" s="20" t="n">
        <x:v>0.045</x:v>
      </x:c>
    </x:row>
    <x:row r="2600">
      <x:c r="A2600" s="17" t="n">
        <x:v>45667</x:v>
      </x:c>
      <x:c r="B2600" s="20" t="n">
        <x:v>0.045</x:v>
      </x:c>
    </x:row>
    <x:row r="2601">
      <x:c r="A2601" s="17" t="n">
        <x:v>45668</x:v>
      </x:c>
      <x:c r="B2601" s="20" t="n">
        <x:v>0.045</x:v>
      </x:c>
    </x:row>
    <x:row r="2602">
      <x:c r="A2602" s="17" t="n">
        <x:v>45669</x:v>
      </x:c>
      <x:c r="B2602" s="20" t="n">
        <x:v>0.045</x:v>
      </x:c>
    </x:row>
    <x:row r="2603">
      <x:c r="A2603" s="17" t="n">
        <x:v>45670</x:v>
      </x:c>
      <x:c r="B2603" s="20" t="n">
        <x:v>0.045</x:v>
      </x:c>
    </x:row>
    <x:row r="2604">
      <x:c r="A2604" s="17" t="n">
        <x:v>45671</x:v>
      </x:c>
      <x:c r="B2604" s="20" t="n">
        <x:v>0.045</x:v>
      </x:c>
    </x:row>
    <x:row r="2605">
      <x:c r="A2605" s="17" t="n">
        <x:v>45672</x:v>
      </x:c>
      <x:c r="B2605" s="20" t="n">
        <x:v>0.045</x:v>
      </x:c>
    </x:row>
    <x:row r="2606">
      <x:c r="A2606" s="17" t="n">
        <x:v>45673</x:v>
      </x:c>
      <x:c r="B2606" s="20" t="n">
        <x:v>0.045</x:v>
      </x:c>
    </x:row>
    <x:row r="2607">
      <x:c r="A2607" s="17" t="n">
        <x:v>45674</x:v>
      </x:c>
      <x:c r="B2607" s="20" t="n">
        <x:v>0.045</x:v>
      </x:c>
    </x:row>
    <x:row r="2608">
      <x:c r="A2608" s="17" t="n">
        <x:v>45675</x:v>
      </x:c>
      <x:c r="B2608" s="20" t="n">
        <x:v>0.045</x:v>
      </x:c>
    </x:row>
    <x:row r="2609">
      <x:c r="A2609" s="17" t="n">
        <x:v>45676</x:v>
      </x:c>
      <x:c r="B2609" s="20" t="n">
        <x:v>0.045</x:v>
      </x:c>
    </x:row>
    <x:row r="2610">
      <x:c r="A2610" s="17" t="n">
        <x:v>45677</x:v>
      </x:c>
      <x:c r="B2610" s="20" t="n">
        <x:v>0.045</x:v>
      </x:c>
    </x:row>
    <x:row r="2611">
      <x:c r="A2611" s="17" t="n">
        <x:v>45678</x:v>
      </x:c>
      <x:c r="B2611" s="20" t="n">
        <x:v>0.045</x:v>
      </x:c>
    </x:row>
    <x:row r="2612">
      <x:c r="A2612" s="17" t="n">
        <x:v>45679</x:v>
      </x:c>
      <x:c r="B2612" s="20" t="n">
        <x:v>0.045</x:v>
      </x:c>
    </x:row>
    <x:row r="2613">
      <x:c r="A2613" s="17" t="n">
        <x:v>45680</x:v>
      </x:c>
      <x:c r="B2613" s="20" t="n">
        <x:v>0.045</x:v>
      </x:c>
    </x:row>
    <x:row r="2614">
      <x:c r="A2614" s="17" t="n">
        <x:v>45681</x:v>
      </x:c>
      <x:c r="B2614" s="20" t="n">
        <x:v>0.045</x:v>
      </x:c>
    </x:row>
    <x:row r="2615">
      <x:c r="A2615" s="17" t="n">
        <x:v>45682</x:v>
      </x:c>
      <x:c r="B2615" s="20" t="n">
        <x:v>0.045</x:v>
      </x:c>
    </x:row>
    <x:row r="2616">
      <x:c r="A2616" s="17" t="n">
        <x:v>45683</x:v>
      </x:c>
      <x:c r="B2616" s="20" t="n">
        <x:v>0.045</x:v>
      </x:c>
    </x:row>
    <x:row r="2617">
      <x:c r="A2617" s="17" t="n">
        <x:v>45684</x:v>
      </x:c>
      <x:c r="B2617" s="20" t="n">
        <x:v>0.045</x:v>
      </x:c>
    </x:row>
    <x:row r="2618">
      <x:c r="A2618" s="17" t="n">
        <x:v>45685</x:v>
      </x:c>
      <x:c r="B2618" s="20" t="n">
        <x:v>0.045</x:v>
      </x:c>
    </x:row>
    <x:row r="2619">
      <x:c r="A2619" s="17" t="n">
        <x:v>45686</x:v>
      </x:c>
      <x:c r="B2619" s="20" t="n">
        <x:v>0.045</x:v>
      </x:c>
    </x:row>
    <x:row r="2620">
      <x:c r="A2620" s="17" t="n">
        <x:v>45687</x:v>
      </x:c>
      <x:c r="B2620" s="20" t="n">
        <x:v>0.045</x:v>
      </x:c>
    </x:row>
    <x:row r="2621">
      <x:c r="A2621" s="17" t="n">
        <x:v>45688</x:v>
      </x:c>
      <x:c r="B2621" s="20" t="n">
        <x:v>0.045</x:v>
      </x:c>
    </x:row>
    <x:row r="2622">
      <x:c r="A2622" s="17" t="n">
        <x:v>45689</x:v>
      </x:c>
      <x:c r="B2622" s="20" t="n">
        <x:v>0.045</x:v>
      </x:c>
    </x:row>
    <x:row r="2623">
      <x:c r="A2623" s="17" t="n">
        <x:v>45690</x:v>
      </x:c>
      <x:c r="B2623" s="20" t="n">
        <x:v>0.045</x:v>
      </x:c>
    </x:row>
    <x:row r="2624">
      <x:c r="A2624" s="17" t="n">
        <x:v>45691</x:v>
      </x:c>
      <x:c r="B2624" s="20" t="n">
        <x:v>0.045</x:v>
      </x:c>
    </x:row>
    <x:row r="2625">
      <x:c r="A2625" s="17" t="n">
        <x:v>45692</x:v>
      </x:c>
      <x:c r="B2625" s="20" t="n">
        <x:v>0.045</x:v>
      </x:c>
    </x:row>
    <x:row r="2626">
      <x:c r="A2626" s="17" t="n">
        <x:v>45693</x:v>
      </x:c>
      <x:c r="B2626" s="20" t="n">
        <x:v>0.045</x:v>
      </x:c>
    </x:row>
    <x:row r="2627">
      <x:c r="A2627" s="17" t="n">
        <x:v>45694</x:v>
      </x:c>
      <x:c r="B2627" s="20" t="n">
        <x:v>0.045</x:v>
      </x:c>
    </x:row>
    <x:row r="2628">
      <x:c r="A2628" s="17" t="n">
        <x:v>45695</x:v>
      </x:c>
      <x:c r="B2628" s="20" t="n">
        <x:v>0.045</x:v>
      </x:c>
    </x:row>
    <x:row r="2629">
      <x:c r="A2629" s="17" t="n">
        <x:v>45696</x:v>
      </x:c>
      <x:c r="B2629" s="20" t="n">
        <x:v>0.045</x:v>
      </x:c>
    </x:row>
    <x:row r="2630">
      <x:c r="A2630" s="17" t="n">
        <x:v>45697</x:v>
      </x:c>
      <x:c r="B2630" s="20" t="n">
        <x:v>0.045</x:v>
      </x:c>
    </x:row>
    <x:row r="2631">
      <x:c r="A2631" s="17" t="n">
        <x:v>45698</x:v>
      </x:c>
      <x:c r="B2631" s="20" t="n">
        <x:v>0.045</x:v>
      </x:c>
    </x:row>
    <x:row r="2632">
      <x:c r="A2632" s="17" t="n">
        <x:v>45699</x:v>
      </x:c>
      <x:c r="B2632" s="20" t="n">
        <x:v>0.045</x:v>
      </x:c>
    </x:row>
    <x:row r="2633">
      <x:c r="A2633" s="17" t="n">
        <x:v>45700</x:v>
      </x:c>
      <x:c r="B2633" s="20" t="n">
        <x:v>0.045</x:v>
      </x:c>
    </x:row>
    <x:row r="2634">
      <x:c r="A2634" s="17" t="n">
        <x:v>45701</x:v>
      </x:c>
      <x:c r="B2634" s="20" t="n">
        <x:v>0.045</x:v>
      </x:c>
    </x:row>
    <x:row r="2635">
      <x:c r="A2635" s="17" t="n">
        <x:v>45702</x:v>
      </x:c>
      <x:c r="B2635" s="20" t="n">
        <x:v>0.045</x:v>
      </x:c>
    </x:row>
    <x:row r="2636">
      <x:c r="A2636" s="17" t="n">
        <x:v>45703</x:v>
      </x:c>
      <x:c r="B2636" s="20" t="n">
        <x:v>0.045</x:v>
      </x:c>
    </x:row>
    <x:row r="2637">
      <x:c r="A2637" s="17" t="n">
        <x:v>45704</x:v>
      </x:c>
      <x:c r="B2637" s="20" t="n">
        <x:v>0.045</x:v>
      </x:c>
    </x:row>
    <x:row r="2638">
      <x:c r="A2638" s="17" t="n">
        <x:v>45705</x:v>
      </x:c>
      <x:c r="B2638" s="20" t="n">
        <x:v>0.045</x:v>
      </x:c>
    </x:row>
    <x:row r="2639">
      <x:c r="A2639" s="17" t="n">
        <x:v>45706</x:v>
      </x:c>
      <x:c r="B2639" s="20" t="n">
        <x:v>0.045</x:v>
      </x:c>
    </x:row>
    <x:row r="2640">
      <x:c r="A2640" s="17" t="n">
        <x:v>45707</x:v>
      </x:c>
      <x:c r="B2640" s="20" t="n">
        <x:v>0.045</x:v>
      </x:c>
    </x:row>
    <x:row r="2641">
      <x:c r="A2641" s="17" t="n">
        <x:v>45708</x:v>
      </x:c>
      <x:c r="B2641" s="20" t="n">
        <x:v>0.045</x:v>
      </x:c>
    </x:row>
    <x:row r="2642">
      <x:c r="A2642" s="17" t="n">
        <x:v>45709</x:v>
      </x:c>
      <x:c r="B2642" s="20" t="n">
        <x:v>0.045</x:v>
      </x:c>
    </x:row>
    <x:row r="2643">
      <x:c r="A2643" s="17" t="n">
        <x:v>45710</x:v>
      </x:c>
      <x:c r="B2643" s="20" t="n">
        <x:v>0.045</x:v>
      </x:c>
    </x:row>
    <x:row r="2644">
      <x:c r="A2644" s="17" t="n">
        <x:v>45711</x:v>
      </x:c>
      <x:c r="B2644" s="20" t="n">
        <x:v>0.045</x:v>
      </x:c>
    </x:row>
    <x:row r="2645">
      <x:c r="A2645" s="17" t="n">
        <x:v>45712</x:v>
      </x:c>
      <x:c r="B2645" s="20" t="n">
        <x:v>0.045</x:v>
      </x:c>
    </x:row>
    <x:row r="2646">
      <x:c r="A2646" s="17" t="n">
        <x:v>45713</x:v>
      </x:c>
      <x:c r="B2646" s="20" t="n">
        <x:v>0.045</x:v>
      </x:c>
    </x:row>
    <x:row r="2647">
      <x:c r="A2647" s="17" t="n">
        <x:v>45714</x:v>
      </x:c>
      <x:c r="B2647" s="20" t="n">
        <x:v>0.045</x:v>
      </x:c>
    </x:row>
    <x:row r="2648">
      <x:c r="A2648" s="17" t="n">
        <x:v>45715</x:v>
      </x:c>
      <x:c r="B2648" s="20" t="n">
        <x:v>0.045</x:v>
      </x:c>
    </x:row>
    <x:row r="2649">
      <x:c r="A2649" s="17" t="n">
        <x:v>45716</x:v>
      </x:c>
      <x:c r="B2649" s="20" t="n">
        <x:v>0.045</x:v>
      </x:c>
    </x:row>
    <x:row r="2650">
      <x:c r="A2650" s="17" t="n">
        <x:v>45717</x:v>
      </x:c>
      <x:c r="B2650" s="20" t="n">
        <x:v>0.045</x:v>
      </x:c>
    </x:row>
    <x:row r="2651">
      <x:c r="A2651" s="17" t="n">
        <x:v>45718</x:v>
      </x:c>
      <x:c r="B2651" s="20" t="n">
        <x:v>0.045</x:v>
      </x:c>
    </x:row>
    <x:row r="2652">
      <x:c r="A2652" s="17" t="n">
        <x:v>45719</x:v>
      </x:c>
      <x:c r="B2652" s="20" t="n">
        <x:v>0.045</x:v>
      </x:c>
    </x:row>
    <x:row r="2653">
      <x:c r="A2653" s="17" t="n">
        <x:v>45720</x:v>
      </x:c>
      <x:c r="B2653" s="20" t="n">
        <x:v>0.045</x:v>
      </x:c>
    </x:row>
    <x:row r="2654">
      <x:c r="A2654" s="17" t="n">
        <x:v>45721</x:v>
      </x:c>
      <x:c r="B2654" s="20" t="n">
        <x:v>0.045</x:v>
      </x:c>
    </x:row>
    <x:row r="2655">
      <x:c r="A2655" s="17" t="n">
        <x:v>45722</x:v>
      </x:c>
      <x:c r="B2655" s="20" t="n">
        <x:v>0.045</x:v>
      </x:c>
    </x:row>
    <x:row r="2656">
      <x:c r="A2656" s="17" t="n">
        <x:v>45723</x:v>
      </x:c>
      <x:c r="B2656" s="20" t="n">
        <x:v>0.045</x:v>
      </x:c>
    </x:row>
    <x:row r="2657">
      <x:c r="A2657" s="17" t="n">
        <x:v>45724</x:v>
      </x:c>
      <x:c r="B2657" s="20" t="n">
        <x:v>0.045</x:v>
      </x:c>
    </x:row>
    <x:row r="2658">
      <x:c r="A2658" s="17" t="n">
        <x:v>45725</x:v>
      </x:c>
      <x:c r="B2658" s="20" t="n">
        <x:v>0.045</x:v>
      </x:c>
    </x:row>
    <x:row r="2659">
      <x:c r="A2659" s="17" t="n">
        <x:v>45726</x:v>
      </x:c>
      <x:c r="B2659" s="20" t="n">
        <x:v>0.045</x:v>
      </x:c>
    </x:row>
    <x:row r="2660">
      <x:c r="A2660" s="17" t="n">
        <x:v>45727</x:v>
      </x:c>
      <x:c r="B2660" s="20" t="n">
        <x:v>0.045</x:v>
      </x:c>
    </x:row>
    <x:row r="2661">
      <x:c r="A2661" s="17" t="n">
        <x:v>45728</x:v>
      </x:c>
      <x:c r="B2661" s="20" t="n">
        <x:v>0.045</x:v>
      </x:c>
    </x:row>
    <x:row r="2662">
      <x:c r="A2662" s="17" t="n">
        <x:v>45729</x:v>
      </x:c>
      <x:c r="B2662" s="20" t="n">
        <x:v>0.045</x:v>
      </x:c>
    </x:row>
    <x:row r="2663">
      <x:c r="A2663" s="17" t="n">
        <x:v>45730</x:v>
      </x:c>
      <x:c r="B2663" s="20" t="n">
        <x:v>0.045</x:v>
      </x:c>
    </x:row>
    <x:row r="2664">
      <x:c r="A2664" s="17" t="n">
        <x:v>45731</x:v>
      </x:c>
      <x:c r="B2664" s="20" t="n">
        <x:v>0.045</x:v>
      </x:c>
    </x:row>
    <x:row r="2665">
      <x:c r="A2665" s="17" t="n">
        <x:v>45732</x:v>
      </x:c>
      <x:c r="B2665" s="20" t="n">
        <x:v>0.045</x:v>
      </x:c>
    </x:row>
    <x:row r="2666">
      <x:c r="A2666" s="17" t="n">
        <x:v>45733</x:v>
      </x:c>
      <x:c r="B2666" s="20" t="n">
        <x:v>0.045</x:v>
      </x:c>
    </x:row>
    <x:row r="2667">
      <x:c r="A2667" s="17" t="n">
        <x:v>45734</x:v>
      </x:c>
      <x:c r="B2667" s="20" t="n">
        <x:v>0.045</x:v>
      </x:c>
    </x:row>
    <x:row r="2668">
      <x:c r="A2668" s="17" t="n">
        <x:v>45735</x:v>
      </x:c>
      <x:c r="B2668" s="20" t="n">
        <x:v>0.045</x:v>
      </x:c>
    </x:row>
    <x:row r="2669">
      <x:c r="A2669" s="17" t="n">
        <x:v>45736</x:v>
      </x:c>
      <x:c r="B2669" s="20" t="n">
        <x:v>0.045</x:v>
      </x:c>
    </x:row>
    <x:row r="2670">
      <x:c r="A2670" s="17" t="n">
        <x:v>45737</x:v>
      </x:c>
      <x:c r="B2670" s="20" t="n">
        <x:v>0.045</x:v>
      </x:c>
    </x:row>
    <x:row r="2671">
      <x:c r="A2671" s="17" t="n">
        <x:v>45738</x:v>
      </x:c>
      <x:c r="B2671" s="20" t="n">
        <x:v>0.045</x:v>
      </x:c>
    </x:row>
    <x:row r="2672">
      <x:c r="A2672" s="17" t="n">
        <x:v>45739</x:v>
      </x:c>
      <x:c r="B2672" s="20" t="n">
        <x:v>0.045</x:v>
      </x:c>
    </x:row>
    <x:row r="2673">
      <x:c r="A2673" s="17" t="n">
        <x:v>45740</x:v>
      </x:c>
      <x:c r="B2673" s="20" t="n">
        <x:v>0.045</x:v>
      </x:c>
    </x:row>
    <x:row r="2674">
      <x:c r="A2674" s="17" t="n">
        <x:v>45741</x:v>
      </x:c>
      <x:c r="B2674" s="20" t="n">
        <x:v>0.045</x:v>
      </x:c>
    </x:row>
    <x:row r="2675">
      <x:c r="A2675" s="17" t="n">
        <x:v>45742</x:v>
      </x:c>
      <x:c r="B2675" s="20" t="n">
        <x:v>0.045</x:v>
      </x:c>
    </x:row>
    <x:row r="2676">
      <x:c r="A2676" s="17" t="n">
        <x:v>45743</x:v>
      </x:c>
      <x:c r="B2676" s="20" t="n">
        <x:v>0.045</x:v>
      </x:c>
    </x:row>
    <x:row r="2677">
      <x:c r="A2677" s="17" t="n">
        <x:v>45744</x:v>
      </x:c>
      <x:c r="B2677" s="20" t="n">
        <x:v>0.045</x:v>
      </x:c>
    </x:row>
    <x:row r="2678">
      <x:c r="A2678" s="17" t="n">
        <x:v>45745</x:v>
      </x:c>
      <x:c r="B2678" s="20" t="n">
        <x:v>0.045</x:v>
      </x:c>
    </x:row>
    <x:row r="2679">
      <x:c r="A2679" s="17" t="n">
        <x:v>45746</x:v>
      </x:c>
      <x:c r="B2679" s="20" t="n">
        <x:v>0.045</x:v>
      </x:c>
    </x:row>
    <x:row r="2680">
      <x:c r="A2680" s="17" t="n">
        <x:v>45747</x:v>
      </x:c>
      <x:c r="B2680" s="20" t="n">
        <x:v>0.045</x:v>
      </x:c>
    </x:row>
    <x:row r="2681">
      <x:c r="A2681" s="17" t="n">
        <x:v>45748</x:v>
      </x:c>
      <x:c r="B2681" s="20" t="n">
        <x:v>0.045</x:v>
      </x:c>
    </x:row>
    <x:row r="2682">
      <x:c r="A2682" s="17" t="n">
        <x:v>45749</x:v>
      </x:c>
      <x:c r="B2682" s="20" t="n">
        <x:v>0.045</x:v>
      </x:c>
    </x:row>
    <x:row r="2683">
      <x:c r="A2683" s="17" t="n">
        <x:v>45750</x:v>
      </x:c>
      <x:c r="B2683" s="20" t="n">
        <x:v>0.045</x:v>
      </x:c>
    </x:row>
    <x:row r="2684">
      <x:c r="A2684" s="17" t="n">
        <x:v>45751</x:v>
      </x:c>
      <x:c r="B2684" s="20" t="n">
        <x:v>0.045</x:v>
      </x:c>
    </x:row>
    <x:row r="2685">
      <x:c r="A2685" s="17" t="n">
        <x:v>45752</x:v>
      </x:c>
      <x:c r="B2685" s="20" t="n">
        <x:v>0.045</x:v>
      </x:c>
    </x:row>
    <x:row r="2686">
      <x:c r="A2686" s="17" t="n">
        <x:v>45753</x:v>
      </x:c>
      <x:c r="B2686" s="20" t="n">
        <x:v>0.045</x:v>
      </x:c>
    </x:row>
    <x:row r="2687">
      <x:c r="A2687" s="17" t="n">
        <x:v>45754</x:v>
      </x:c>
      <x:c r="B2687" s="20" t="n">
        <x:v>0.045</x:v>
      </x:c>
    </x:row>
    <x:row r="2688">
      <x:c r="A2688" s="17" t="n">
        <x:v>45755</x:v>
      </x:c>
      <x:c r="B2688" s="20" t="n">
        <x:v>0.045</x:v>
      </x:c>
    </x:row>
    <x:row r="2689">
      <x:c r="A2689" s="17" t="n">
        <x:v>45756</x:v>
      </x:c>
      <x:c r="B2689" s="20" t="n">
        <x:v>0.045</x:v>
      </x:c>
    </x:row>
    <x:row r="2690">
      <x:c r="A2690" s="17" t="n">
        <x:v>45757</x:v>
      </x:c>
      <x:c r="B2690" s="20" t="n">
        <x:v>0.045</x:v>
      </x:c>
    </x:row>
    <x:row r="2691">
      <x:c r="A2691" s="17" t="n">
        <x:v>45758</x:v>
      </x:c>
      <x:c r="B2691" s="20" t="n">
        <x:v>0.045</x:v>
      </x:c>
    </x:row>
    <x:row r="2692">
      <x:c r="A2692" s="17" t="n">
        <x:v>45759</x:v>
      </x:c>
      <x:c r="B2692" s="20" t="n">
        <x:v>0.045</x:v>
      </x:c>
    </x:row>
    <x:row r="2693">
      <x:c r="A2693" s="17" t="n">
        <x:v>45760</x:v>
      </x:c>
      <x:c r="B2693" s="20" t="n">
        <x:v>0.045</x:v>
      </x:c>
    </x:row>
    <x:row r="2694">
      <x:c r="A2694" s="17" t="n">
        <x:v>45761</x:v>
      </x:c>
      <x:c r="B2694" s="20" t="n">
        <x:v>0.045</x:v>
      </x:c>
    </x:row>
    <x:row r="2695">
      <x:c r="A2695" s="17" t="n">
        <x:v>45762</x:v>
      </x:c>
      <x:c r="B2695" s="20" t="n">
        <x:v>0.045</x:v>
      </x:c>
    </x:row>
    <x:row r="2696">
      <x:c r="A2696" s="17" t="n">
        <x:v>45763</x:v>
      </x:c>
      <x:c r="B2696" s="20" t="n">
        <x:v>0.045</x:v>
      </x:c>
    </x:row>
    <x:row r="2697">
      <x:c r="A2697" s="17" t="n">
        <x:v>45764</x:v>
      </x:c>
      <x:c r="B2697" s="20" t="n">
        <x:v>0.045</x:v>
      </x:c>
    </x:row>
    <x:row r="2698">
      <x:c r="A2698" s="17" t="n">
        <x:v>45765</x:v>
      </x:c>
      <x:c r="B2698" s="20" t="n">
        <x:v>0.045</x:v>
      </x:c>
    </x:row>
    <x:row r="2699">
      <x:c r="A2699" s="17" t="n">
        <x:v>45766</x:v>
      </x:c>
      <x:c r="B2699" s="20" t="n">
        <x:v>0.045</x:v>
      </x:c>
    </x:row>
    <x:row r="2700">
      <x:c r="A2700" s="17" t="n">
        <x:v>45767</x:v>
      </x:c>
      <x:c r="B2700" s="20" t="n">
        <x:v>0.045</x:v>
      </x:c>
    </x:row>
    <x:row r="2701">
      <x:c r="A2701" s="17" t="n">
        <x:v>45768</x:v>
      </x:c>
      <x:c r="B2701" s="20" t="n">
        <x:v>0.045</x:v>
      </x:c>
    </x:row>
    <x:row r="2702">
      <x:c r="A2702" s="17" t="n">
        <x:v>45769</x:v>
      </x:c>
      <x:c r="B2702" s="20" t="n">
        <x:v>0.045</x:v>
      </x:c>
    </x:row>
    <x:row r="2703">
      <x:c r="A2703" s="17" t="n">
        <x:v>45770</x:v>
      </x:c>
      <x:c r="B2703" s="20" t="n">
        <x:v>0.045</x:v>
      </x:c>
    </x:row>
    <x:row r="2704">
      <x:c r="A2704" s="17" t="n">
        <x:v>45771</x:v>
      </x:c>
      <x:c r="B2704" s="20" t="n">
        <x:v>0.045</x:v>
      </x:c>
    </x:row>
    <x:row r="2705">
      <x:c r="A2705" s="17" t="n">
        <x:v>45772</x:v>
      </x:c>
      <x:c r="B2705" s="20" t="n">
        <x:v>0.045</x:v>
      </x:c>
    </x:row>
    <x:row r="2706">
      <x:c r="A2706" s="17" t="n">
        <x:v>45773</x:v>
      </x:c>
      <x:c r="B2706" s="20" t="n">
        <x:v>0.045</x:v>
      </x:c>
    </x:row>
    <x:row r="2707">
      <x:c r="A2707" s="17" t="n">
        <x:v>45774</x:v>
      </x:c>
      <x:c r="B2707" s="20" t="n">
        <x:v>0.045</x:v>
      </x:c>
    </x:row>
    <x:row r="2708">
      <x:c r="A2708" s="17" t="n">
        <x:v>45775</x:v>
      </x:c>
      <x:c r="B2708" s="20" t="n">
        <x:v>0.045</x:v>
      </x:c>
    </x:row>
    <x:row r="2709">
      <x:c r="A2709" s="17" t="n">
        <x:v>45776</x:v>
      </x:c>
      <x:c r="B2709" s="20" t="n">
        <x:v>0.045</x:v>
      </x:c>
    </x:row>
    <x:row r="2710">
      <x:c r="A2710" s="17" t="n">
        <x:v>45777</x:v>
      </x:c>
      <x:c r="B2710" s="20" t="n">
        <x:v>0.045</x:v>
      </x:c>
    </x:row>
    <x:row r="2711">
      <x:c r="A2711" s="17" t="n">
        <x:v>45778</x:v>
      </x:c>
      <x:c r="B2711" s="20" t="n">
        <x:v>0.045</x:v>
      </x:c>
    </x:row>
    <x:row r="2712">
      <x:c r="A2712" s="17" t="n">
        <x:v>45779</x:v>
      </x:c>
      <x:c r="B2712" s="20" t="n">
        <x:v>0.045</x:v>
      </x:c>
    </x:row>
    <x:row r="2713">
      <x:c r="A2713" s="17" t="n">
        <x:v>45780</x:v>
      </x:c>
      <x:c r="B2713" s="20" t="n">
        <x:v>0.045</x:v>
      </x:c>
    </x:row>
    <x:row r="2714">
      <x:c r="A2714" s="17" t="n">
        <x:v>45781</x:v>
      </x:c>
      <x:c r="B2714" s="20" t="n">
        <x:v>0.045</x:v>
      </x:c>
    </x:row>
    <x:row r="2715">
      <x:c r="A2715" s="17" t="n">
        <x:v>45782</x:v>
      </x:c>
      <x:c r="B2715" s="20" t="n">
        <x:v>0.045</x:v>
      </x:c>
    </x:row>
    <x:row r="2716">
      <x:c r="A2716" s="17" t="n">
        <x:v>45783</x:v>
      </x:c>
      <x:c r="B2716" s="20" t="n">
        <x:v>0.045</x:v>
      </x:c>
    </x:row>
    <x:row r="2717">
      <x:c r="A2717" s="17" t="n">
        <x:v>45784</x:v>
      </x:c>
      <x:c r="B2717" s="20" t="n">
        <x:v>0.045</x:v>
      </x:c>
    </x:row>
    <x:row r="2718">
      <x:c r="A2718" s="17" t="n">
        <x:v>45785</x:v>
      </x:c>
      <x:c r="B2718" s="20" t="n">
        <x:v>0.045</x:v>
      </x:c>
    </x:row>
    <x:row r="2719">
      <x:c r="A2719" s="17" t="n">
        <x:v>45786</x:v>
      </x:c>
      <x:c r="B2719" s="20" t="n">
        <x:v>0.045</x:v>
      </x:c>
    </x:row>
    <x:row r="2720">
      <x:c r="A2720" s="17" t="n">
        <x:v>45787</x:v>
      </x:c>
      <x:c r="B2720" s="20" t="n">
        <x:v>0.045</x:v>
      </x:c>
    </x:row>
    <x:row r="2721">
      <x:c r="A2721" s="17" t="n">
        <x:v>45788</x:v>
      </x:c>
      <x:c r="B2721" s="20" t="n">
        <x:v>0.045</x:v>
      </x:c>
    </x:row>
    <x:row r="2722">
      <x:c r="A2722" s="17" t="n">
        <x:v>45789</x:v>
      </x:c>
      <x:c r="B2722" s="20" t="n">
        <x:v>0.045</x:v>
      </x:c>
    </x:row>
    <x:row r="2723">
      <x:c r="A2723" s="17" t="n">
        <x:v>45790</x:v>
      </x:c>
      <x:c r="B2723" s="20" t="n">
        <x:v>0.045</x:v>
      </x:c>
    </x:row>
    <x:row r="2724">
      <x:c r="A2724" s="17" t="n">
        <x:v>45791</x:v>
      </x:c>
      <x:c r="B2724" s="20" t="n">
        <x:v>0.045</x:v>
      </x:c>
    </x:row>
    <x:row r="2725">
      <x:c r="A2725" s="17" t="n">
        <x:v>45792</x:v>
      </x:c>
      <x:c r="B2725" s="20" t="n">
        <x:v>0.045</x:v>
      </x:c>
    </x:row>
    <x:row r="2726">
      <x:c r="A2726" s="17" t="n">
        <x:v>45793</x:v>
      </x:c>
      <x:c r="B2726" s="20" t="n">
        <x:v>0.045</x:v>
      </x:c>
    </x:row>
    <x:row r="2727">
      <x:c r="A2727" s="17" t="n">
        <x:v>45794</x:v>
      </x:c>
      <x:c r="B2727" s="20" t="n">
        <x:v>0.045</x:v>
      </x:c>
    </x:row>
    <x:row r="2728">
      <x:c r="A2728" s="17" t="n">
        <x:v>45795</x:v>
      </x:c>
      <x:c r="B2728" s="20" t="n">
        <x:v>0.045</x:v>
      </x:c>
    </x:row>
    <x:row r="2729">
      <x:c r="A2729" s="17" t="n">
        <x:v>45796</x:v>
      </x:c>
      <x:c r="B2729" s="20" t="n">
        <x:v>0.045</x:v>
      </x:c>
    </x:row>
    <x:row r="2730">
      <x:c r="A2730" s="17" t="n">
        <x:v>45797</x:v>
      </x:c>
      <x:c r="B2730" s="20" t="n">
        <x:v>0.045</x:v>
      </x:c>
    </x:row>
    <x:row r="2731">
      <x:c r="A2731" s="17" t="n">
        <x:v>45798</x:v>
      </x:c>
      <x:c r="B2731" s="20" t="n">
        <x:v>0.045</x:v>
      </x:c>
    </x:row>
    <x:row r="2732">
      <x:c r="A2732" s="17" t="n">
        <x:v>45799</x:v>
      </x:c>
      <x:c r="B2732" s="20" t="n">
        <x:v>0.045</x:v>
      </x:c>
    </x:row>
    <x:row r="2733">
      <x:c r="A2733" s="17" t="n">
        <x:v>45800</x:v>
      </x:c>
      <x:c r="B2733" s="20" t="n">
        <x:v>0.045</x:v>
      </x:c>
    </x:row>
    <x:row r="2734">
      <x:c r="A2734" s="17" t="n">
        <x:v>45801</x:v>
      </x:c>
      <x:c r="B2734" s="20" t="n">
        <x:v>0.045</x:v>
      </x:c>
    </x:row>
    <x:row r="2735">
      <x:c r="A2735" s="17" t="n">
        <x:v>45802</x:v>
      </x:c>
      <x:c r="B2735" s="20" t="n">
        <x:v>0.045</x:v>
      </x:c>
    </x:row>
    <x:row r="2736">
      <x:c r="A2736" s="17" t="n">
        <x:v>45803</x:v>
      </x:c>
      <x:c r="B2736" s="20" t="n">
        <x:v>0.045</x:v>
      </x:c>
    </x:row>
    <x:row r="2737">
      <x:c r="A2737" s="17" t="n">
        <x:v>45804</x:v>
      </x:c>
      <x:c r="B2737" s="20" t="n">
        <x:v>0.045</x:v>
      </x:c>
    </x:row>
    <x:row r="2738">
      <x:c r="A2738" s="17" t="n">
        <x:v>45805</x:v>
      </x:c>
      <x:c r="B2738" s="20" t="n">
        <x:v>0.045</x:v>
      </x:c>
    </x:row>
    <x:row r="2739">
      <x:c r="A2739" s="17" t="n">
        <x:v>45806</x:v>
      </x:c>
      <x:c r="B2739" s="20" t="n">
        <x:v>0.045</x:v>
      </x:c>
    </x:row>
    <x:row r="2740">
      <x:c r="A2740" s="17" t="n">
        <x:v>45807</x:v>
      </x:c>
      <x:c r="B2740" s="20" t="n">
        <x:v>0.045</x:v>
      </x:c>
    </x:row>
    <x:row r="2741">
      <x:c r="A2741" s="17" t="n">
        <x:v>45808</x:v>
      </x:c>
      <x:c r="B2741" s="20" t="n">
        <x:v>0.045</x:v>
      </x:c>
    </x:row>
    <x:row r="2742">
      <x:c r="A2742" s="17" t="n">
        <x:v>45809</x:v>
      </x:c>
      <x:c r="B2742" s="20" t="n">
        <x:v>0.045</x:v>
      </x:c>
    </x:row>
    <x:row r="2743">
      <x:c r="A2743" s="17" t="n">
        <x:v>45810</x:v>
      </x:c>
      <x:c r="B2743" s="20" t="n">
        <x:v>0.045</x:v>
      </x:c>
    </x:row>
    <x:row r="2744">
      <x:c r="A2744" s="17" t="n">
        <x:v>45811</x:v>
      </x:c>
      <x:c r="B2744" s="20" t="n">
        <x:v>0.045</x:v>
      </x:c>
    </x:row>
    <x:row r="2745">
      <x:c r="A2745" s="17" t="n">
        <x:v>45812</x:v>
      </x:c>
      <x:c r="B2745" s="20" t="n">
        <x:v>0.045</x:v>
      </x:c>
    </x:row>
    <x:row r="2746">
      <x:c r="A2746" s="17" t="n">
        <x:v>45813</x:v>
      </x:c>
      <x:c r="B2746" s="20" t="n">
        <x:v>0.045</x:v>
      </x:c>
    </x:row>
    <x:row r="2747">
      <x:c r="A2747" s="17" t="n">
        <x:v>45814</x:v>
      </x:c>
      <x:c r="B2747" s="20" t="n">
        <x:v>0.045</x:v>
      </x:c>
    </x:row>
    <x:row r="2748">
      <x:c r="A2748" s="17" t="n">
        <x:v>45815</x:v>
      </x:c>
      <x:c r="B2748" s="20" t="n">
        <x:v>0.045</x:v>
      </x:c>
    </x:row>
    <x:row r="2749">
      <x:c r="A2749" s="17" t="n">
        <x:v>45816</x:v>
      </x:c>
      <x:c r="B2749" s="20" t="n">
        <x:v>0.045</x:v>
      </x:c>
    </x:row>
    <x:row r="2750">
      <x:c r="A2750" s="17" t="n">
        <x:v>45817</x:v>
      </x:c>
      <x:c r="B2750" s="20" t="n">
        <x:v>0.045</x:v>
      </x:c>
    </x:row>
    <x:row r="2751">
      <x:c r="A2751" s="17" t="n">
        <x:v>45818</x:v>
      </x:c>
      <x:c r="B2751" s="20" t="n">
        <x:v>0.045</x:v>
      </x:c>
    </x:row>
    <x:row r="2752">
      <x:c r="A2752" s="17" t="n">
        <x:v>45819</x:v>
      </x:c>
      <x:c r="B2752" s="20" t="n">
        <x:v>0.045</x:v>
      </x:c>
    </x:row>
    <x:row r="2753">
      <x:c r="A2753" s="17" t="n">
        <x:v>45820</x:v>
      </x:c>
      <x:c r="B2753" s="20" t="n">
        <x:v>0.045</x:v>
      </x:c>
    </x:row>
    <x:row r="2754">
      <x:c r="A2754" s="17" t="n">
        <x:v>45821</x:v>
      </x:c>
      <x:c r="B2754" s="20" t="n">
        <x:v>0.045</x:v>
      </x:c>
    </x:row>
    <x:row r="2755">
      <x:c r="A2755" s="17" t="n">
        <x:v>45822</x:v>
      </x:c>
      <x:c r="B2755" s="20" t="n">
        <x:v>0.045</x:v>
      </x:c>
    </x:row>
    <x:row r="2756">
      <x:c r="A2756" s="17" t="n">
        <x:v>45823</x:v>
      </x:c>
      <x:c r="B2756" s="20" t="n">
        <x:v>0.045</x:v>
      </x:c>
    </x:row>
    <x:row r="2757">
      <x:c r="A2757" s="17" t="n">
        <x:v>45824</x:v>
      </x:c>
      <x:c r="B2757" s="20" t="n">
        <x:v>0.045</x:v>
      </x:c>
    </x:row>
    <x:row r="2758">
      <x:c r="A2758" s="17" t="n">
        <x:v>45825</x:v>
      </x:c>
      <x:c r="B2758" s="20" t="n">
        <x:v>0.045</x:v>
      </x:c>
    </x:row>
    <x:row r="2759">
      <x:c r="A2759" s="17" t="n">
        <x:v>45826</x:v>
      </x:c>
      <x:c r="B2759" s="20" t="n">
        <x:v>0.045</x:v>
      </x:c>
    </x:row>
    <x:row r="2760">
      <x:c r="A2760" s="17" t="n">
        <x:v>45827</x:v>
      </x:c>
      <x:c r="B2760" s="20" t="n">
        <x:v>0.045</x:v>
      </x:c>
    </x:row>
    <x:row r="2761">
      <x:c r="A2761" s="17" t="n">
        <x:v>45828</x:v>
      </x:c>
      <x:c r="B2761" s="20" t="n">
        <x:v>0.045</x:v>
      </x:c>
    </x:row>
    <x:row r="2762">
      <x:c r="A2762" s="17" t="n">
        <x:v>45829</x:v>
      </x:c>
      <x:c r="B2762" s="20" t="n">
        <x:v>0.045</x:v>
      </x:c>
    </x:row>
    <x:row r="2763">
      <x:c r="A2763" s="17" t="n">
        <x:v>45830</x:v>
      </x:c>
      <x:c r="B2763" s="20" t="n">
        <x:v>0.045</x:v>
      </x:c>
    </x:row>
    <x:row r="2764">
      <x:c r="A2764" s="17" t="n">
        <x:v>45831</x:v>
      </x:c>
      <x:c r="B2764" s="20" t="n">
        <x:v>0.045</x:v>
      </x:c>
    </x:row>
    <x:row r="2765">
      <x:c r="A2765" s="17" t="n">
        <x:v>45832</x:v>
      </x:c>
      <x:c r="B2765" s="20" t="n">
        <x:v>0.045</x:v>
      </x:c>
    </x:row>
    <x:row r="2766">
      <x:c r="A2766" s="17" t="n">
        <x:v>45833</x:v>
      </x:c>
      <x:c r="B2766" s="20" t="n">
        <x:v>0.045</x:v>
      </x:c>
    </x:row>
    <x:row r="2767">
      <x:c r="A2767" s="17" t="n">
        <x:v>45834</x:v>
      </x:c>
      <x:c r="B2767" s="20" t="n">
        <x:v>0.045</x:v>
      </x:c>
    </x:row>
    <x:row r="2768">
      <x:c r="A2768" s="17" t="n">
        <x:v>45835</x:v>
      </x:c>
      <x:c r="B2768" s="20" t="n">
        <x:v>0.045</x:v>
      </x:c>
    </x:row>
    <x:row r="2769">
      <x:c r="A2769" s="17" t="n">
        <x:v>45836</x:v>
      </x:c>
      <x:c r="B2769" s="20" t="n">
        <x:v>0.045</x:v>
      </x:c>
    </x:row>
    <x:row r="2770">
      <x:c r="A2770" s="17" t="n">
        <x:v>45837</x:v>
      </x:c>
      <x:c r="B2770" s="20" t="n">
        <x:v>0.045</x:v>
      </x:c>
    </x:row>
    <x:row r="2771">
      <x:c r="A2771" s="17" t="n">
        <x:v>45838</x:v>
      </x:c>
      <x:c r="B2771" s="20" t="n">
        <x:v>0.045</x:v>
      </x:c>
    </x:row>
    <x:row r="2772">
      <x:c r="A2772" s="17" t="n">
        <x:v>45839</x:v>
      </x:c>
      <x:c r="B2772" s="20" t="n">
        <x:v>0.045</x:v>
      </x:c>
    </x:row>
    <x:row r="2773">
      <x:c r="A2773" s="17" t="n">
        <x:v>45840</x:v>
      </x:c>
      <x:c r="B2773" s="20" t="n">
        <x:v>0.045</x:v>
      </x:c>
    </x:row>
    <x:row r="2774">
      <x:c r="A2774" s="17" t="n">
        <x:v>45841</x:v>
      </x:c>
      <x:c r="B2774" s="20" t="n">
        <x:v>0.045</x:v>
      </x:c>
    </x:row>
    <x:row r="2775">
      <x:c r="A2775" s="17" t="n">
        <x:v>45842</x:v>
      </x:c>
      <x:c r="B2775" s="20" t="n">
        <x:v>0.045</x:v>
      </x:c>
    </x:row>
    <x:row r="2776">
      <x:c r="A2776" s="17" t="n">
        <x:v>45843</x:v>
      </x:c>
      <x:c r="B2776" s="20" t="n">
        <x:v>0.045</x:v>
      </x:c>
    </x:row>
    <x:row r="2777">
      <x:c r="A2777" s="17" t="n">
        <x:v>45844</x:v>
      </x:c>
      <x:c r="B2777" s="20" t="n">
        <x:v>0.045</x:v>
      </x:c>
    </x:row>
    <x:row r="2778">
      <x:c r="A2778" s="17" t="n">
        <x:v>45845</x:v>
      </x:c>
      <x:c r="B2778" s="20" t="n">
        <x:v>0.045</x:v>
      </x:c>
    </x:row>
    <x:row r="2779">
      <x:c r="A2779" s="17" t="n">
        <x:v>45846</x:v>
      </x:c>
      <x:c r="B2779" s="20" t="n">
        <x:v>0.045</x:v>
      </x:c>
    </x:row>
    <x:row r="2780">
      <x:c r="A2780" s="17" t="n">
        <x:v>45847</x:v>
      </x:c>
      <x:c r="B2780" s="20" t="n">
        <x:v>0.045</x:v>
      </x:c>
    </x:row>
    <x:row r="2781">
      <x:c r="A2781" s="17" t="n">
        <x:v>45848</x:v>
      </x:c>
      <x:c r="B2781" s="20" t="n">
        <x:v>0.045</x:v>
      </x:c>
    </x:row>
    <x:row r="2782">
      <x:c r="A2782" s="17" t="n">
        <x:v>45849</x:v>
      </x:c>
      <x:c r="B2782" s="20" t="n">
        <x:v>0.045</x:v>
      </x:c>
    </x:row>
    <x:row r="2783">
      <x:c r="A2783" s="17" t="n">
        <x:v>45850</x:v>
      </x:c>
      <x:c r="B2783" s="20" t="n">
        <x:v>0.045</x:v>
      </x:c>
    </x:row>
    <x:row r="2784">
      <x:c r="A2784" s="17" t="n">
        <x:v>45851</x:v>
      </x:c>
      <x:c r="B2784" s="20" t="n">
        <x:v>0.045</x:v>
      </x:c>
    </x:row>
    <x:row r="2785">
      <x:c r="A2785" s="17" t="n">
        <x:v>45852</x:v>
      </x:c>
      <x:c r="B2785" s="20" t="n">
        <x:v>0.045</x:v>
      </x:c>
    </x:row>
    <x:row r="2786">
      <x:c r="A2786" s="17" t="n">
        <x:v>45853</x:v>
      </x:c>
      <x:c r="B2786" s="20" t="n">
        <x:v>0.045</x:v>
      </x:c>
    </x:row>
    <x:row r="2787">
      <x:c r="A2787" s="17" t="n">
        <x:v>45854</x:v>
      </x:c>
      <x:c r="B2787" s="20" t="n">
        <x:v>0.045</x:v>
      </x:c>
    </x:row>
    <x:row r="2788">
      <x:c r="A2788" s="17" t="n">
        <x:v>45855</x:v>
      </x:c>
      <x:c r="B2788" s="20" t="n">
        <x:v>0.045</x:v>
      </x:c>
    </x:row>
    <x:row r="2789">
      <x:c r="A2789" s="17" t="n">
        <x:v>45856</x:v>
      </x:c>
      <x:c r="B2789" s="20" t="n">
        <x:v>0.045</x:v>
      </x:c>
    </x:row>
    <x:row r="2790">
      <x:c r="A2790" s="17" t="n">
        <x:v>45857</x:v>
      </x:c>
      <x:c r="B2790" s="20" t="n">
        <x:v>0.045</x:v>
      </x:c>
    </x:row>
    <x:row r="2791">
      <x:c r="A2791" s="17" t="n">
        <x:v>45858</x:v>
      </x:c>
      <x:c r="B2791" s="20" t="n">
        <x:v>0.045</x:v>
      </x:c>
    </x:row>
    <x:row r="2792">
      <x:c r="A2792" s="17" t="n">
        <x:v>45859</x:v>
      </x:c>
      <x:c r="B2792" s="20" t="n">
        <x:v>0.045</x:v>
      </x:c>
    </x:row>
    <x:row r="2793">
      <x:c r="A2793" s="17" t="n">
        <x:v>45860</x:v>
      </x:c>
      <x:c r="B2793" s="20" t="n">
        <x:v>0.045</x:v>
      </x:c>
    </x:row>
    <x:row r="2794">
      <x:c r="A2794" s="17" t="n">
        <x:v>45861</x:v>
      </x:c>
      <x:c r="B2794" s="20" t="n">
        <x:v>0.045</x:v>
      </x:c>
    </x:row>
    <x:row r="2795">
      <x:c r="A2795" s="17" t="n">
        <x:v>45862</x:v>
      </x:c>
      <x:c r="B2795" s="20" t="n">
        <x:v>0.045</x:v>
      </x:c>
    </x:row>
    <x:row r="2796">
      <x:c r="A2796" s="17" t="n">
        <x:v>45863</x:v>
      </x:c>
      <x:c r="B2796" s="20" t="n">
        <x:v>0.045</x:v>
      </x:c>
    </x:row>
    <x:row r="2797">
      <x:c r="A2797" s="17" t="n">
        <x:v>45864</x:v>
      </x:c>
      <x:c r="B2797" s="20" t="n">
        <x:v>0.045</x:v>
      </x:c>
    </x:row>
    <x:row r="2798">
      <x:c r="A2798" s="17" t="n">
        <x:v>45865</x:v>
      </x:c>
      <x:c r="B2798" s="20" t="n">
        <x:v>0.045</x:v>
      </x:c>
    </x:row>
    <x:row r="2799">
      <x:c r="A2799" s="17" t="n">
        <x:v>45866</x:v>
      </x:c>
      <x:c r="B2799" s="20" t="n">
        <x:v>0.045</x:v>
      </x:c>
    </x:row>
    <x:row r="2800">
      <x:c r="A2800" s="17" t="n">
        <x:v>45867</x:v>
      </x:c>
      <x:c r="B2800" s="20" t="n">
        <x:v>0.045</x:v>
      </x:c>
    </x:row>
    <x:row r="2801">
      <x:c r="A2801" s="17" t="n">
        <x:v>45868</x:v>
      </x:c>
      <x:c r="B2801" s="20" t="n">
        <x:v>0.045</x:v>
      </x:c>
    </x:row>
    <x:row r="2802">
      <x:c r="A2802" s="17" t="n">
        <x:v>45869</x:v>
      </x:c>
      <x:c r="B2802" s="20" t="n">
        <x:v>0.045</x:v>
      </x:c>
    </x:row>
    <x:row r="2803">
      <x:c r="A2803" s="17" t="n">
        <x:v>45870</x:v>
      </x:c>
      <x:c r="B2803" s="20" t="n">
        <x:v>0.045</x:v>
      </x:c>
    </x:row>
    <x:row r="2804">
      <x:c r="A2804" s="17" t="n">
        <x:v>45871</x:v>
      </x:c>
      <x:c r="B2804" s="20" t="n">
        <x:v>0.045</x:v>
      </x:c>
    </x:row>
    <x:row r="2805">
      <x:c r="A2805" s="17" t="n">
        <x:v>45872</x:v>
      </x:c>
      <x:c r="B2805" s="20" t="n">
        <x:v>0.045</x:v>
      </x:c>
    </x:row>
    <x:row r="2806">
      <x:c r="A2806" s="17" t="n">
        <x:v>45873</x:v>
      </x:c>
      <x:c r="B2806" s="20" t="n">
        <x:v>0.045</x:v>
      </x:c>
    </x:row>
    <x:row r="2807">
      <x:c r="A2807" s="17" t="n">
        <x:v>45874</x:v>
      </x:c>
      <x:c r="B2807" s="20" t="n">
        <x:v>0.045</x:v>
      </x:c>
    </x:row>
    <x:row r="2808">
      <x:c r="A2808" s="17" t="n">
        <x:v>45875</x:v>
      </x:c>
      <x:c r="B2808" s="20" t="n">
        <x:v>0.045</x:v>
      </x:c>
    </x:row>
    <x:row r="2809">
      <x:c r="A2809" s="17" t="n">
        <x:v>45876</x:v>
      </x:c>
      <x:c r="B2809" s="20" t="n">
        <x:v>0.045</x:v>
      </x:c>
    </x:row>
    <x:row r="2810">
      <x:c r="A2810" s="17" t="n">
        <x:v>45877</x:v>
      </x:c>
      <x:c r="B2810" s="20" t="n">
        <x:v>0.045</x:v>
      </x:c>
    </x:row>
    <x:row r="2811">
      <x:c r="A2811" s="17" t="n">
        <x:v>45878</x:v>
      </x:c>
      <x:c r="B2811" s="20" t="n">
        <x:v>0.045</x:v>
      </x:c>
    </x:row>
    <x:row r="2812">
      <x:c r="A2812" s="17" t="n">
        <x:v>45879</x:v>
      </x:c>
      <x:c r="B2812" s="20" t="n">
        <x:v>0.045</x:v>
      </x:c>
    </x:row>
    <x:row r="2813">
      <x:c r="A2813" s="17" t="n">
        <x:v>45880</x:v>
      </x:c>
      <x:c r="B2813" s="20" t="n">
        <x:v>0.045</x:v>
      </x:c>
    </x:row>
    <x:row r="2814">
      <x:c r="A2814" s="17" t="n">
        <x:v>45881</x:v>
      </x:c>
      <x:c r="B2814" s="20" t="n">
        <x:v>0.045</x:v>
      </x:c>
    </x:row>
    <x:row r="2815">
      <x:c r="A2815" s="17" t="n">
        <x:v>45882</x:v>
      </x:c>
      <x:c r="B2815" s="20" t="n">
        <x:v>0.045</x:v>
      </x:c>
    </x:row>
    <x:row r="2816">
      <x:c r="A2816" s="17" t="n">
        <x:v>45883</x:v>
      </x:c>
      <x:c r="B2816" s="20" t="n">
        <x:v>0.045</x:v>
      </x:c>
    </x:row>
    <x:row r="2817">
      <x:c r="A2817" s="17" t="n">
        <x:v>45884</x:v>
      </x:c>
      <x:c r="B2817" s="20" t="n">
        <x:v>0.045</x:v>
      </x:c>
    </x:row>
    <x:row r="2818">
      <x:c r="A2818" s="17" t="n">
        <x:v>45885</x:v>
      </x:c>
      <x:c r="B2818" s="20" t="n">
        <x:v>0.045</x:v>
      </x:c>
    </x:row>
    <x:row r="2819">
      <x:c r="A2819" s="17" t="n">
        <x:v>45886</x:v>
      </x:c>
      <x:c r="B2819" s="20" t="n">
        <x:v>0.045</x:v>
      </x:c>
    </x:row>
    <x:row r="2820">
      <x:c r="A2820" s="17" t="n">
        <x:v>45887</x:v>
      </x:c>
      <x:c r="B2820" s="20" t="n">
        <x:v>0.045</x:v>
      </x:c>
    </x:row>
    <x:row r="2821">
      <x:c r="A2821" s="17" t="n">
        <x:v>45888</x:v>
      </x:c>
      <x:c r="B2821" s="20" t="n">
        <x:v>0.045</x:v>
      </x:c>
    </x:row>
    <x:row r="2822">
      <x:c r="A2822" s="17" t="n">
        <x:v>45889</x:v>
      </x:c>
      <x:c r="B2822" s="20" t="n">
        <x:v>0.045</x:v>
      </x:c>
    </x:row>
    <x:row r="2823">
      <x:c r="A2823" s="17" t="n">
        <x:v>45890</x:v>
      </x:c>
      <x:c r="B2823" s="20" t="n">
        <x:v>0.045</x:v>
      </x:c>
    </x:row>
    <x:row r="2824">
      <x:c r="A2824" s="17" t="n">
        <x:v>45891</x:v>
      </x:c>
      <x:c r="B2824" s="20" t="n">
        <x:v>0.045</x:v>
      </x:c>
    </x:row>
    <x:row r="2825">
      <x:c r="A2825" s="17" t="n">
        <x:v>45892</x:v>
      </x:c>
      <x:c r="B2825" s="20" t="n">
        <x:v>0.045</x:v>
      </x:c>
    </x:row>
    <x:row r="2826">
      <x:c r="A2826" s="17" t="n">
        <x:v>45893</x:v>
      </x:c>
      <x:c r="B2826" s="20" t="n">
        <x:v>0.045</x:v>
      </x:c>
    </x:row>
    <x:row r="2827">
      <x:c r="A2827" s="17" t="n">
        <x:v>45894</x:v>
      </x:c>
      <x:c r="B2827" s="20" t="n">
        <x:v>0.045</x:v>
      </x:c>
    </x:row>
    <x:row r="2828">
      <x:c r="A2828" s="17" t="n">
        <x:v>45895</x:v>
      </x:c>
      <x:c r="B2828" s="20" t="n">
        <x:v>0.045</x:v>
      </x:c>
    </x:row>
    <x:row r="2829">
      <x:c r="A2829" s="17" t="n">
        <x:v>45896</x:v>
      </x:c>
      <x:c r="B2829" s="20" t="n">
        <x:v>0.045</x:v>
      </x:c>
    </x:row>
    <x:row r="2830">
      <x:c r="A2830" s="17" t="n">
        <x:v>45897</x:v>
      </x:c>
      <x:c r="B2830" s="20" t="n">
        <x:v>0.045</x:v>
      </x:c>
    </x:row>
    <x:row r="2831">
      <x:c r="A2831" s="17" t="n">
        <x:v>45898</x:v>
      </x:c>
      <x:c r="B2831" s="20" t="n">
        <x:v>0.045</x:v>
      </x:c>
    </x:row>
    <x:row r="2832">
      <x:c r="A2832" s="17" t="n">
        <x:v>45899</x:v>
      </x:c>
      <x:c r="B2832" s="20" t="n">
        <x:v>0.045</x:v>
      </x:c>
    </x:row>
    <x:row r="2833">
      <x:c r="A2833" s="17" t="n">
        <x:v>45900</x:v>
      </x:c>
      <x:c r="B2833" s="20" t="n">
        <x:v>0.045</x:v>
      </x:c>
    </x:row>
    <x:row r="2834">
      <x:c r="A2834" s="17" t="n">
        <x:v>45901</x:v>
      </x:c>
      <x:c r="B2834" s="20" t="n">
        <x:v>0.045</x:v>
      </x:c>
    </x:row>
    <x:row r="2835">
      <x:c r="A2835" s="17" t="n">
        <x:v>45902</x:v>
      </x:c>
      <x:c r="B2835" s="20" t="n">
        <x:v>0.045</x:v>
      </x:c>
    </x:row>
    <x:row r="2836">
      <x:c r="A2836" s="17" t="n">
        <x:v>45903</x:v>
      </x:c>
      <x:c r="B2836" s="20" t="n">
        <x:v>0.045</x:v>
      </x:c>
    </x:row>
    <x:row r="2837">
      <x:c r="A2837" s="17" t="n">
        <x:v>45904</x:v>
      </x:c>
      <x:c r="B2837" s="20" t="n">
        <x:v>0.045</x:v>
      </x:c>
    </x:row>
    <x:row r="2838">
      <x:c r="A2838" s="17" t="n">
        <x:v>45905</x:v>
      </x:c>
      <x:c r="B2838" s="20" t="n">
        <x:v>0.045</x:v>
      </x:c>
    </x:row>
    <x:row r="2839">
      <x:c r="A2839" s="17" t="n">
        <x:v>45906</x:v>
      </x:c>
      <x:c r="B2839" s="20" t="n">
        <x:v>0.045</x:v>
      </x:c>
    </x:row>
    <x:row r="2840">
      <x:c r="A2840" s="17" t="n">
        <x:v>45907</x:v>
      </x:c>
      <x:c r="B2840" s="20" t="n">
        <x:v>0.045</x:v>
      </x:c>
    </x:row>
    <x:row r="2841">
      <x:c r="A2841" s="17" t="n">
        <x:v>45908</x:v>
      </x:c>
      <x:c r="B2841" s="20" t="n">
        <x:v>0.045</x:v>
      </x:c>
    </x:row>
    <x:row r="2842">
      <x:c r="A2842" s="17" t="n">
        <x:v>45909</x:v>
      </x:c>
      <x:c r="B2842" s="20" t="n">
        <x:v>0.045</x:v>
      </x:c>
    </x:row>
    <x:row r="2843">
      <x:c r="A2843" s="17" t="n">
        <x:v>45910</x:v>
      </x:c>
      <x:c r="B2843" s="20" t="n">
        <x:v>0.045</x:v>
      </x:c>
    </x:row>
    <x:row r="2844">
      <x:c r="A2844" s="17" t="n">
        <x:v>45911</x:v>
      </x:c>
      <x:c r="B2844" s="20" t="n">
        <x:v>0.045</x:v>
      </x:c>
    </x:row>
    <x:row r="2845">
      <x:c r="A2845" s="17" t="n">
        <x:v>45912</x:v>
      </x:c>
      <x:c r="B2845" s="20" t="n">
        <x:v>0.045</x:v>
      </x:c>
    </x:row>
    <x:row r="2846">
      <x:c r="A2846" s="17" t="n">
        <x:v>45913</x:v>
      </x:c>
      <x:c r="B2846" s="20" t="n">
        <x:v>0.045</x:v>
      </x:c>
    </x:row>
    <x:row r="2847">
      <x:c r="A2847" s="17" t="n">
        <x:v>45914</x:v>
      </x:c>
      <x:c r="B2847" s="20" t="n">
        <x:v>0.045</x:v>
      </x:c>
    </x:row>
    <x:row r="2848">
      <x:c r="A2848" s="17" t="n">
        <x:v>45915</x:v>
      </x:c>
      <x:c r="B2848" s="20" t="n">
        <x:v>0.045</x:v>
      </x:c>
    </x:row>
    <x:row r="2849">
      <x:c r="A2849" s="17" t="n">
        <x:v>45916</x:v>
      </x:c>
      <x:c r="B2849" s="20" t="n">
        <x:v>0.045</x:v>
      </x:c>
    </x:row>
    <x:row r="2850">
      <x:c r="A2850" s="17" t="n">
        <x:v>45917</x:v>
      </x:c>
      <x:c r="B2850" s="20" t="n">
        <x:v>0.045</x:v>
      </x:c>
    </x:row>
    <x:row r="2851">
      <x:c r="A2851" s="17" t="n">
        <x:v>45918</x:v>
      </x:c>
      <x:c r="B2851" s="20" t="n">
        <x:v>0.0425</x:v>
      </x:c>
    </x:row>
    <x:row r="2852">
      <x:c r="A2852" s="17" t="n">
        <x:v>45919</x:v>
      </x:c>
      <x:c r="B2852" s="20" t="n">
        <x:v>0.0425</x:v>
      </x:c>
    </x:row>
    <x:row r="2853">
      <x:c r="A2853" s="17" t="n">
        <x:v>45920</x:v>
      </x:c>
      <x:c r="B2853" s="20" t="n">
        <x:v>0.0425</x:v>
      </x:c>
    </x:row>
    <x:row r="2854">
      <x:c r="A2854" s="17" t="n">
        <x:v>45921</x:v>
      </x:c>
      <x:c r="B2854" s="20" t="n">
        <x:v>0.0425</x:v>
      </x:c>
    </x:row>
    <x:row r="2855">
      <x:c r="A2855" s="17" t="n">
        <x:v>45922</x:v>
      </x:c>
      <x:c r="B2855" s="20" t="n">
        <x:v>0.0425</x:v>
      </x:c>
    </x:row>
    <x:row r="2856">
      <x:c r="A2856" s="17" t="n">
        <x:v>45923</x:v>
      </x:c>
      <x:c r="B2856" s="20" t="n">
        <x:v>0.0425</x:v>
      </x:c>
    </x:row>
    <x:row r="2857">
      <x:c r="A2857" s="17" t="n">
        <x:v>45924</x:v>
      </x:c>
      <x:c r="B2857" s="20" t="n">
        <x:v>0.0425</x:v>
      </x:c>
    </x:row>
    <x:row r="2858">
      <x:c r="A2858" s="17" t="n">
        <x:v>45925</x:v>
      </x:c>
      <x:c r="B2858" s="20" t="n">
        <x:v>0.0425</x:v>
      </x:c>
    </x:row>
    <x:row r="2859">
      <x:c r="A2859" s="17" t="n">
        <x:v>45926</x:v>
      </x:c>
      <x:c r="B2859" s="20" t="n">
        <x:v>0.0425</x:v>
      </x:c>
    </x:row>
    <x:row r="2860">
      <x:c r="A2860" s="17" t="n">
        <x:v>45927</x:v>
      </x:c>
      <x:c r="B2860" s="20" t="n">
        <x:v>0.0425</x:v>
      </x:c>
    </x:row>
    <x:row r="2861">
      <x:c r="A2861" s="17" t="n">
        <x:v>45928</x:v>
      </x:c>
      <x:c r="B2861" s="20" t="n">
        <x:v>0.0425</x:v>
      </x:c>
    </x:row>
    <x:row r="2862">
      <x:c r="A2862" s="17" t="n">
        <x:v>45929</x:v>
      </x:c>
      <x:c r="B2862" s="20" t="n">
        <x:v>0.0425</x:v>
      </x:c>
    </x:row>
    <x:row r="2863">
      <x:c r="A2863" s="17" t="n">
        <x:v>45930</x:v>
      </x:c>
      <x:c r="B2863" s="20" t="n">
        <x:v>0.0425</x:v>
      </x:c>
    </x:row>
    <x:row r="2864">
      <x:c r="A2864" s="17" t="n">
        <x:v>45931</x:v>
      </x:c>
      <x:c r="B2864" s="20" t="n">
        <x:v>0.0425</x:v>
      </x:c>
    </x:row>
    <x:row r="2865">
      <x:c r="A2865" s="17" t="n">
        <x:v>45932</x:v>
      </x:c>
      <x:c r="B2865" s="20" t="n">
        <x:v>0.0425</x:v>
      </x:c>
    </x:row>
    <x:row r="2866">
      <x:c r="A2866" s="17" t="n">
        <x:v>45933</x:v>
      </x:c>
      <x:c r="B2866" s="20" t="n">
        <x:v>0.0425</x:v>
      </x:c>
    </x:row>
    <x:row r="2867">
      <x:c r="A2867" s="17" t="n">
        <x:v>45934</x:v>
      </x:c>
      <x:c r="B2867" s="20" t="n">
        <x:v>0.0425</x:v>
      </x:c>
    </x:row>
    <x:row r="2868">
      <x:c r="A2868" s="17" t="n">
        <x:v>45935</x:v>
      </x:c>
      <x:c r="B2868" s="20" t="n">
        <x:v>0.0425</x:v>
      </x:c>
    </x:row>
    <x:row r="2869">
      <x:c r="A2869" s="17" t="n">
        <x:v>45936</x:v>
      </x:c>
      <x:c r="B2869" s="20" t="n">
        <x:v>0.0425</x:v>
      </x:c>
    </x:row>
    <x:row r="2870">
      <x:c r="A2870" s="17" t="n">
        <x:v>45937</x:v>
      </x:c>
      <x:c r="B2870" s="20" t="n">
        <x:v>0.0425</x:v>
      </x:c>
    </x:row>
    <x:row r="2871">
      <x:c r="A2871" s="17" t="n">
        <x:v>45938</x:v>
      </x:c>
      <x:c r="B2871" s="20" t="n">
        <x:v>0.0425</x:v>
      </x:c>
    </x:row>
    <x:row r="2872">
      <x:c r="A2872" s="17" t="n">
        <x:v>45939</x:v>
      </x:c>
      <x:c r="B2872" s="20" t="n">
        <x:v>0.0425</x:v>
      </x:c>
    </x:row>
    <x:row r="2873">
      <x:c r="A2873" s="17" t="n">
        <x:v>45940</x:v>
      </x:c>
      <x:c r="B2873" s="20" t="n">
        <x:v>0.0425</x:v>
      </x:c>
    </x:row>
    <x:row r="2874">
      <x:c r="A2874" s="17" t="n">
        <x:v>45941</x:v>
      </x:c>
      <x:c r="B2874" s="20" t="n">
        <x:v>0.0425</x:v>
      </x:c>
    </x:row>
    <x:row r="2875">
      <x:c r="A2875" s="17" t="n">
        <x:v>45942</x:v>
      </x:c>
      <x:c r="B2875" s="20" t="n">
        <x:v>0.0425</x:v>
      </x:c>
    </x:row>
    <x:row r="2876">
      <x:c r="A2876" s="17" t="n">
        <x:v>45943</x:v>
      </x:c>
      <x:c r="B2876" s="20" t="n">
        <x:v>0.0425</x:v>
      </x:c>
    </x:row>
    <x:row r="2877">
      <x:c r="A2877" s="17" t="n">
        <x:v>45944</x:v>
      </x:c>
      <x:c r="B2877" s="20" t="n">
        <x:v>0.0425</x:v>
      </x:c>
    </x:row>
    <x:row r="2878">
      <x:c r="A2878" s="17" t="n">
        <x:v>45945</x:v>
      </x:c>
      <x:c r="B2878" s="20" t="n">
        <x:v>0.0425</x:v>
      </x:c>
    </x:row>
    <x:row r="2879">
      <x:c r="A2879" s="17" t="n">
        <x:v>45946</x:v>
      </x:c>
      <x:c r="B2879" s="20" t="n">
        <x:v>0.0425</x:v>
      </x:c>
    </x:row>
    <x:row r="2880">
      <x:c r="A2880" s="17" t="n">
        <x:v>45947</x:v>
      </x:c>
      <x:c r="B2880" s="20" t="n">
        <x:v>0.0425</x:v>
      </x:c>
    </x:row>
    <x:row r="2881">
      <x:c r="A2881" s="17" t="n">
        <x:v>45948</x:v>
      </x:c>
      <x:c r="B2881" s="20" t="n">
        <x:v>0.0425</x:v>
      </x:c>
    </x:row>
    <x:row r="2882">
      <x:c r="A2882" s="17" t="n">
        <x:v>45949</x:v>
      </x:c>
      <x:c r="B2882" s="20" t="n">
        <x:v>0.0425</x:v>
      </x:c>
    </x:row>
    <x:row r="2883">
      <x:c r="A2883" s="17" t="n">
        <x:v>45950</x:v>
      </x:c>
      <x:c r="B2883" s="20" t="n">
        <x:v>0.0425</x:v>
      </x:c>
    </x:row>
    <x:row r="2884">
      <x:c r="A2884" s="17" t="n">
        <x:v>45951</x:v>
      </x:c>
      <x:c r="B2884" s="20" t="n">
        <x:v>0.0425</x:v>
      </x:c>
    </x:row>
    <x:row r="2885">
      <x:c r="A2885" s="17" t="n">
        <x:v>45952</x:v>
      </x:c>
      <x:c r="B2885" s="20" t="n">
        <x:v>0.0425</x:v>
      </x:c>
    </x:row>
    <x:row r="2886">
      <x:c r="A2886" s="17" t="n">
        <x:v>45953</x:v>
      </x:c>
      <x:c r="B2886" s="20" t="n">
        <x:v>0.0425</x:v>
      </x:c>
    </x:row>
    <x:row r="2887">
      <x:c r="A2887" s="17" t="n">
        <x:v>45954</x:v>
      </x:c>
      <x:c r="B2887" s="20" t="n">
        <x:v>0.0425</x:v>
      </x:c>
    </x:row>
    <x:row r="2888">
      <x:c r="A2888" s="17" t="n">
        <x:v>45955</x:v>
      </x:c>
      <x:c r="B2888" s="20" t="n">
        <x:v>0.0425</x:v>
      </x:c>
    </x:row>
    <x:row r="2889">
      <x:c r="A2889" s="17" t="n">
        <x:v>45956</x:v>
      </x:c>
      <x:c r="B2889" s="20" t="n">
        <x:v>0.0425</x:v>
      </x:c>
    </x:row>
    <x:row r="2890">
      <x:c r="A2890" s="17" t="n">
        <x:v>45957</x:v>
      </x:c>
      <x:c r="B2890" s="20" t="n">
        <x:v>0.0425</x:v>
      </x:c>
    </x:row>
    <x:row r="2891">
      <x:c r="A2891" s="17" t="n">
        <x:v>45958</x:v>
      </x:c>
      <x:c r="B2891" s="20" t="n">
        <x:v>0.0425</x:v>
      </x:c>
    </x:row>
    <x:row r="2892">
      <x:c r="A2892" s="17" t="n">
        <x:v>45959</x:v>
      </x:c>
      <x:c r="B2892" s="20" t="n">
        <x:v>0.0425</x:v>
      </x:c>
    </x:row>
    <x:row r="2893">
      <x:c r="A2893" s="17" t="n">
        <x:v>45960</x:v>
      </x:c>
      <x:c r="B2893" s="20" t="n">
        <x:v>0.04</x:v>
      </x:c>
    </x:row>
    <x:row r="2894">
      <x:c r="A2894" s="17" t="n">
        <x:v>45961</x:v>
      </x:c>
      <x:c r="B2894" s="20" t="n">
        <x:v>0.04</x:v>
      </x:c>
    </x:row>
    <x:row r="2895">
      <x:c r="A2895" s="17" t="n">
        <x:v>45962</x:v>
      </x:c>
      <x:c r="B2895" s="20" t="n">
        <x:v>0.04</x:v>
      </x:c>
    </x:row>
    <x:row r="2896">
      <x:c r="A2896" s="17" t="n">
        <x:v>45963</x:v>
      </x:c>
      <x:c r="B2896" s="20" t="n">
        <x:v>0.04</x:v>
      </x:c>
    </x:row>
    <x:row r="2897">
      <x:c r="A2897" s="17" t="n">
        <x:v>45964</x:v>
      </x:c>
      <x:c r="B2897" s="20" t="n">
        <x:v>0.04</x:v>
      </x:c>
    </x:row>
    <x:row r="2898">
      <x:c r="A2898" s="17" t="n">
        <x:v>45965</x:v>
      </x:c>
      <x:c r="B2898" s="20" t="n">
        <x:v>0.04</x:v>
      </x:c>
    </x:row>
    <x:row r="2899">
      <x:c r="A2899" s="17" t="n">
        <x:v>45966</x:v>
      </x:c>
      <x:c r="B2899" s="20" t="n">
        <x:v>0.04</x:v>
      </x:c>
    </x:row>
    <x:row r="2900">
      <x:c r="A2900" s="17" t="n">
        <x:v>45967</x:v>
      </x:c>
      <x:c r="B2900" s="20" t="n">
        <x:v>0.04</x:v>
      </x:c>
    </x:row>
    <x:row r="2901">
      <x:c r="A2901" s="17" t="n">
        <x:v>45968</x:v>
      </x:c>
      <x:c r="B2901" s="20" t="n">
        <x:v>0.04</x:v>
      </x:c>
    </x:row>
    <x:row r="2902">
      <x:c r="A2902" s="17" t="n">
        <x:v>45969</x:v>
      </x:c>
      <x:c r="B2902" s="20" t="n">
        <x:v>0.04</x:v>
      </x:c>
    </x:row>
    <x:row r="2903">
      <x:c r="A2903" s="17" t="n">
        <x:v>45970</x:v>
      </x:c>
      <x:c r="B2903" s="20" t="n">
        <x:v>0.04</x:v>
      </x:c>
    </x:row>
    <x:row r="2904">
      <x:c r="A2904" s="17" t="n">
        <x:v>45971</x:v>
      </x:c>
      <x:c r="B2904" s="20" t="n">
        <x:v>0.04</x:v>
      </x:c>
    </x:row>
    <x:row r="2905">
      <x:c r="A2905" s="17" t="n">
        <x:v>45972</x:v>
      </x:c>
      <x:c r="B2905" s="20" t="n">
        <x:v>0.04</x:v>
      </x:c>
    </x:row>
    <x:row r="2906">
      <x:c r="A2906" s="17" t="n">
        <x:v>45973</x:v>
      </x:c>
      <x:c r="B2906" s="20" t="n">
        <x:v>0.04</x:v>
      </x:c>
    </x:row>
    <x:row r="2907">
      <x:c r="A2907" s="17" t="n">
        <x:v>45974</x:v>
      </x:c>
      <x:c r="B2907" s="20" t="n">
        <x:v>0.04</x:v>
      </x:c>
    </x:row>
    <x:row r="2908">
      <x:c r="A2908" s="17" t="n">
        <x:v>45975</x:v>
      </x:c>
      <x:c r="B2908" s="20" t="n">
        <x:v>0.04</x:v>
      </x:c>
    </x:row>
    <x:row r="2909">
      <x:c r="A2909" s="17" t="n">
        <x:v>45976</x:v>
      </x:c>
      <x:c r="B2909" s="20" t="n">
        <x:v>0.04</x:v>
      </x:c>
    </x:row>
    <x:row r="2910">
      <x:c r="A2910" s="17" t="n">
        <x:v>45977</x:v>
      </x:c>
      <x:c r="B2910" s="20" t="n">
        <x:v>0.04</x:v>
      </x:c>
    </x:row>
    <x:row r="2911">
      <x:c r="A2911" s="17" t="n">
        <x:v>45978</x:v>
      </x:c>
      <x:c r="B2911" s="20" t="n">
        <x:v>0.04</x:v>
      </x:c>
    </x:row>
    <x:row r="2912">
      <x:c r="A2912" s="17" t="n">
        <x:v>45979</x:v>
      </x:c>
      <x:c r="B2912" s="20" t="n">
        <x:v>0.04</x:v>
      </x:c>
    </x:row>
    <x:row r="2913">
      <x:c r="A2913" s="17" t="n">
        <x:v>45980</x:v>
      </x:c>
      <x:c r="B2913" s="20" t="n">
        <x:v>0.04</x:v>
      </x:c>
    </x:row>
    <x:row r="2914">
      <x:c r="A2914" s="17" t="n">
        <x:v>45981</x:v>
      </x:c>
      <x:c r="B2914" s="20" t="n">
        <x:v>0.04</x:v>
      </x:c>
    </x:row>
    <x:row r="2915">
      <x:c r="A2915" s="17" t="n">
        <x:v>45982</x:v>
      </x:c>
      <x:c r="B2915" s="20" t="n">
        <x:v>0.04</x:v>
      </x:c>
    </x:row>
    <x:row r="2916">
      <x:c r="A2916" s="17" t="n">
        <x:v>45983</x:v>
      </x:c>
      <x:c r="B2916" s="20" t="n">
        <x:v>0.04</x:v>
      </x:c>
    </x:row>
    <x:row r="2917">
      <x:c r="A2917" s="17" t="n">
        <x:v>45984</x:v>
      </x:c>
      <x:c r="B2917" s="20" t="n">
        <x:v>0.04</x:v>
      </x:c>
    </x:row>
    <x:row r="2918">
      <x:c r="A2918" s="17" t="n">
        <x:v>45985</x:v>
      </x:c>
      <x:c r="B2918" s="20" t="n">
        <x:v>0.04</x:v>
      </x:c>
    </x:row>
    <x:row r="2919">
      <x:c r="A2919" s="17" t="n">
        <x:v>45986</x:v>
      </x:c>
      <x:c r="B2919" s="20" t="n">
        <x:v>0.04</x:v>
      </x:c>
    </x:row>
    <x:row r="2920">
      <x:c r="A2920" s="17" t="n">
        <x:v>45987</x:v>
      </x:c>
      <x:c r="B2920" s="20" t="n">
        <x:v>0.04</x:v>
      </x:c>
    </x:row>
    <x:row r="2921">
      <x:c r="A2921" s="17" t="n">
        <x:v>45988</x:v>
      </x:c>
      <x:c r="B2921" s="20" t="n">
        <x:v>0.04</x:v>
      </x:c>
    </x:row>
    <x:row r="2922">
      <x:c r="A2922" s="17" t="n">
        <x:v>45989</x:v>
      </x:c>
      <x:c r="B2922" s="20" t="n">
        <x:v>0.04</x:v>
      </x:c>
    </x:row>
    <x:row r="2923">
      <x:c r="A2923" s="17" t="n">
        <x:v>45990</x:v>
      </x:c>
      <x:c r="B2923" s="20" t="n">
        <x:v>0.04</x:v>
      </x:c>
    </x:row>
    <x:row r="2924">
      <x:c r="A2924" s="17" t="n">
        <x:v>45991</x:v>
      </x:c>
      <x:c r="B2924" s="20" t="n">
        <x:v>0.04</x:v>
      </x:c>
    </x:row>
    <x:row r="2925">
      <x:c r="A2925" s="17" t="n">
        <x:v>45992</x:v>
      </x:c>
      <x:c r="B2925" s="20" t="n">
        <x:v>0.04</x:v>
      </x:c>
    </x:row>
    <x:row r="2926">
      <x:c r="A2926" s="17" t="n">
        <x:v>45993</x:v>
      </x:c>
      <x:c r="B2926" s="20" t="n">
        <x:v>0.04</x:v>
      </x:c>
    </x:row>
    <x:row r="2927">
      <x:c r="A2927" s="17" t="n">
        <x:v>45994</x:v>
      </x:c>
      <x:c r="B2927" s="20" t="n">
        <x:v>0.04</x:v>
      </x:c>
    </x:row>
    <x:row r="2928">
      <x:c r="A2928" s="17" t="n">
        <x:v>45995</x:v>
      </x:c>
      <x:c r="B2928" s="20" t="n">
        <x:v>0.04</x:v>
      </x:c>
    </x:row>
    <x:row r="2929">
      <x:c r="A2929" s="17" t="n">
        <x:v>45996</x:v>
      </x:c>
      <x:c r="B2929" s="20" t="n">
        <x:v>0.04</x:v>
      </x:c>
    </x:row>
    <x:row r="2930">
      <x:c r="A2930" s="17" t="n">
        <x:v>45997</x:v>
      </x:c>
      <x:c r="B2930" s="20" t="n">
        <x:v>0.04</x:v>
      </x:c>
    </x:row>
    <x:row r="2931">
      <x:c r="A2931" s="17" t="n">
        <x:v>45998</x:v>
      </x:c>
      <x:c r="B2931" s="20" t="n">
        <x:v>0.04</x:v>
      </x:c>
    </x:row>
    <x:row r="2932">
      <x:c r="A2932" s="17" t="n">
        <x:v>45999</x:v>
      </x:c>
      <x:c r="B2932" s="20" t="n">
        <x:v>0.04</x:v>
      </x:c>
    </x:row>
    <x:row r="2933">
      <x:c r="A2933" s="17" t="n">
        <x:v>46000</x:v>
      </x:c>
      <x:c r="B2933" s="20" t="n">
        <x:v>0.04</x:v>
      </x:c>
    </x:row>
    <x:row r="2934">
      <x:c r="A2934" s="17" t="n">
        <x:v>46001</x:v>
      </x:c>
      <x:c r="B2934" s="20" t="n">
        <x:v>0.04</x:v>
      </x:c>
    </x:row>
    <x:row r="2935">
      <x:c r="A2935" s="17" t="n">
        <x:v>46002</x:v>
      </x:c>
      <x:c r="B2935" s="20" t="n">
        <x:v>0.0375</x:v>
      </x:c>
    </x:row>
    <x:row r="2936">
      <x:c r="A2936" s="17" t="n">
        <x:v>46003</x:v>
      </x:c>
      <x:c r="B2936" s="20" t="n">
        <x:v>0.0375</x:v>
      </x:c>
    </x:row>
    <x:row r="2937">
      <x:c r="A2937" s="17" t="n">
        <x:v>46004</x:v>
      </x:c>
      <x:c r="B2937" s="20" t="n">
        <x:v>0.0375</x:v>
      </x:c>
    </x:row>
    <x:row r="2938">
      <x:c r="A2938" s="17" t="n">
        <x:v>46005</x:v>
      </x:c>
      <x:c r="B2938" s="20" t="n">
        <x:v>0.0375</x:v>
      </x:c>
    </x:row>
    <x:row r="2939">
      <x:c r="A2939" s="17" t="n">
        <x:v>46006</x:v>
      </x:c>
      <x:c r="B2939" s="20" t="n">
        <x:v>0.0375</x:v>
      </x:c>
    </x:row>
    <x:row r="2940">
      <x:c r="A2940" s="17" t="n">
        <x:v>46007</x:v>
      </x:c>
      <x:c r="B2940" s="20" t="n">
        <x:v>0.0375</x:v>
      </x:c>
    </x:row>
    <x:row r="2941">
      <x:c r="A2941" s="17" t="n">
        <x:v>46008</x:v>
      </x:c>
      <x:c r="B2941" s="20" t="n">
        <x:v>0.0375</x:v>
      </x:c>
    </x:row>
    <x:row r="2942">
      <x:c r="A2942" s="17" t="n">
        <x:v>46009</x:v>
      </x:c>
      <x:c r="B2942" s="20" t="n">
        <x:v>0.0375</x:v>
      </x:c>
    </x:row>
    <x:row r="2943">
      <x:c r="A2943" s="17" t="n">
        <x:v>46010</x:v>
      </x:c>
      <x:c r="B2943" s="20" t="n">
        <x:v>0.0375</x:v>
      </x:c>
    </x:row>
    <x:row r="2944">
      <x:c r="A2944" s="17" t="n">
        <x:v>46011</x:v>
      </x:c>
      <x:c r="B2944" s="20" t="n">
        <x:v>0.0375</x:v>
      </x:c>
    </x:row>
    <x:row r="2945">
      <x:c r="A2945" s="17" t="n">
        <x:v>46012</x:v>
      </x:c>
      <x:c r="B2945" s="20" t="n">
        <x:v>0.0375</x:v>
      </x:c>
    </x:row>
    <x:row r="2946">
      <x:c r="A2946" s="17" t="n">
        <x:v>46013</x:v>
      </x:c>
      <x:c r="B2946" s="20" t="n">
        <x:v>0.0375</x:v>
      </x:c>
    </x:row>
    <x:row r="2947">
      <x:c r="A2947" s="17" t="n">
        <x:v>46014</x:v>
      </x:c>
      <x:c r="B2947" s="20" t="n">
        <x:v>0.0375</x:v>
      </x:c>
    </x:row>
    <x:row r="2948">
      <x:c r="A2948" s="17" t="n">
        <x:v>46015</x:v>
      </x:c>
      <x:c r="B2948" s="20" t="n">
        <x:v>0.0375</x:v>
      </x:c>
    </x:row>
    <x:row r="2949">
      <x:c r="A2949" s="17" t="n">
        <x:v>46016</x:v>
      </x:c>
      <x:c r="B2949" s="20" t="n">
        <x:v>0.0375</x:v>
      </x:c>
    </x:row>
    <x:row r="2950">
      <x:c r="A2950" s="17" t="n">
        <x:v>46017</x:v>
      </x:c>
      <x:c r="B2950" s="20" t="n">
        <x:v>0.0375</x:v>
      </x:c>
    </x:row>
    <x:row r="2951">
      <x:c r="A2951" s="17" t="n">
        <x:v>46018</x:v>
      </x:c>
      <x:c r="B2951" s="20" t="n">
        <x:v>0.0375</x:v>
      </x:c>
    </x:row>
    <x:row r="2952">
      <x:c r="A2952" s="17" t="n">
        <x:v>46019</x:v>
      </x:c>
      <x:c r="B2952" s="20" t="n">
        <x:v>0.0375</x:v>
      </x:c>
    </x:row>
    <x:row r="2953">
      <x:c r="A2953" s="17" t="n">
        <x:v>46020</x:v>
      </x:c>
      <x:c r="B2953" s="20" t="n">
        <x:v>0.0375</x:v>
      </x:c>
    </x:row>
    <x:row r="2954">
      <x:c r="A2954" s="17" t="n">
        <x:v>46021</x:v>
      </x:c>
      <x:c r="B2954" s="20" t="n">
        <x:v>0.0375</x:v>
      </x:c>
    </x:row>
    <x:row r="2955">
      <x:c r="A2955" s="17" t="n">
        <x:v>46022</x:v>
      </x:c>
      <x:c r="B2955" s="20" t="n">
        <x:v>0.0375</x:v>
      </x:c>
    </x:row>
    <x:row r="2956">
      <x:c r="A2956" s="17" t="n">
        <x:v>46023</x:v>
      </x:c>
      <x:c r="B2956" s="20" t="n">
        <x:v>0.0375</x:v>
      </x:c>
    </x:row>
    <x:row r="2957">
      <x:c r="A2957" s="17" t="n">
        <x:v>46024</x:v>
      </x:c>
      <x:c r="B2957" s="20" t="n">
        <x:v>0.0375</x:v>
      </x:c>
    </x:row>
    <x:row r="2958">
      <x:c r="A2958" s="17" t="n">
        <x:v>46025</x:v>
      </x:c>
      <x:c r="B2958" s="20" t="n">
        <x:v>0.0375</x:v>
      </x:c>
    </x:row>
    <x:row r="2959">
      <x:c r="A2959" s="17" t="n">
        <x:v>46026</x:v>
      </x:c>
      <x:c r="B2959" s="20" t="n">
        <x:v>0.0375</x:v>
      </x:c>
    </x:row>
    <x:row r="2960">
      <x:c r="A2960" s="17" t="n">
        <x:v>46027</x:v>
      </x:c>
      <x:c r="B2960" s="20" t="n">
        <x:v>0.0375</x:v>
      </x:c>
    </x:row>
    <x:row r="2961">
      <x:c r="A2961" s="17" t="n">
        <x:v>46028</x:v>
      </x:c>
      <x:c r="B2961" s="20" t="n">
        <x:v>0.0375</x:v>
      </x:c>
    </x:row>
    <x:row r="2962">
      <x:c r="A2962" s="17" t="n">
        <x:v>46029</x:v>
      </x:c>
      <x:c r="B2962" s="20" t="n">
        <x:v>0.0375</x:v>
      </x:c>
    </x:row>
    <x:row r="2963">
      <x:c r="A2963" s="17" t="n">
        <x:v>46030</x:v>
      </x:c>
      <x:c r="B2963" s="20" t="n">
        <x:v>0.0375</x:v>
      </x:c>
    </x:row>
    <x:row r="2964">
      <x:c r="A2964" s="17" t="n">
        <x:v>46031</x:v>
      </x:c>
      <x:c r="B2964" s="20" t="n">
        <x:v>0.0375</x:v>
      </x:c>
    </x:row>
    <x:row r="2965">
      <x:c r="A2965" s="17" t="n">
        <x:v>46032</x:v>
      </x:c>
      <x:c r="B2965" s="20" t="n">
        <x:v>0.0375</x:v>
      </x:c>
    </x:row>
    <x:row r="2966">
      <x:c r="A2966" s="17" t="n">
        <x:v>46033</x:v>
      </x:c>
      <x:c r="B2966" s="20" t="n">
        <x:v>0.0375</x:v>
      </x:c>
    </x:row>
    <x:row r="2967">
      <x:c r="A2967" s="17" t="n">
        <x:v>46034</x:v>
      </x:c>
      <x:c r="B2967" s="20" t="n">
        <x:v>0.0375</x:v>
      </x:c>
    </x:row>
    <x:row r="2968">
      <x:c r="A2968" s="17" t="n">
        <x:v>46035</x:v>
      </x:c>
      <x:c r="B2968" s="20" t="n">
        <x:v>0.0375</x:v>
      </x:c>
    </x:row>
    <x:row r="2969">
      <x:c r="A2969" s="17" t="n">
        <x:v>46036</x:v>
      </x:c>
      <x:c r="B2969" s="20" t="n">
        <x:v>0.0375</x:v>
      </x:c>
    </x:row>
    <x:row r="2970">
      <x:c r="A2970" s="17" t="n">
        <x:v>46037</x:v>
      </x:c>
      <x:c r="B2970" s="20" t="n">
        <x:v>0.0375</x:v>
      </x:c>
    </x:row>
    <x:row r="2971">
      <x:c r="A2971" s="17" t="n">
        <x:v>46038</x:v>
      </x:c>
      <x:c r="B2971" s="20" t="n">
        <x:v>0.0375</x:v>
      </x:c>
    </x:row>
    <x:row r="2972">
      <x:c r="A2972" s="17" t="n">
        <x:v>46039</x:v>
      </x:c>
      <x:c r="B2972" s="20" t="n">
        <x:v>0.0375</x:v>
      </x:c>
    </x:row>
    <x:row r="2973">
      <x:c r="A2973" s="17" t="n">
        <x:v>46040</x:v>
      </x:c>
      <x:c r="B2973" s="20" t="n">
        <x:v>0.0375</x:v>
      </x:c>
    </x:row>
    <x:row r="2974">
      <x:c r="A2974" s="17" t="n">
        <x:v>46041</x:v>
      </x:c>
      <x:c r="B2974" s="20" t="n">
        <x:v>0.0375</x:v>
      </x:c>
    </x:row>
    <x:row r="2975">
      <x:c r="A2975" s="17" t="n">
        <x:v>46042</x:v>
      </x:c>
      <x:c r="B2975" s="20" t="n">
        <x:v>0.0375</x:v>
      </x:c>
    </x:row>
    <x:row r="2976">
      <x:c r="A2976" s="17" t="n">
        <x:v>46043</x:v>
      </x:c>
      <x:c r="B2976" s="20" t="n">
        <x:v>0.0375</x:v>
      </x:c>
    </x:row>
    <x:row r="2977">
      <x:c r="A2977" s="17" t="n">
        <x:v>46044</x:v>
      </x:c>
      <x:c r="B2977" s="20" t="n">
        <x:v>0.0375</x:v>
      </x:c>
    </x:row>
    <x:row r="2978">
      <x:c r="A2978" s="17" t="n">
        <x:v>46045</x:v>
      </x:c>
      <x:c r="B2978" s="20" t="n">
        <x:v>0.0375</x:v>
      </x:c>
    </x:row>
    <x:row r="2979">
      <x:c r="A2979" s="17" t="n">
        <x:v>46046</x:v>
      </x:c>
      <x:c r="B2979" s="20" t="n">
        <x:v>0.0375</x:v>
      </x:c>
    </x:row>
    <x:row r="2980">
      <x:c r="A2980" s="17" t="n">
        <x:v>46047</x:v>
      </x:c>
      <x:c r="B2980" s="20" t="n">
        <x:v>0.0375</x:v>
      </x:c>
    </x:row>
    <x:row r="2981">
      <x:c r="A2981" s="17" t="n">
        <x:v>46048</x:v>
      </x:c>
      <x:c r="B2981" s="20" t="n">
        <x:v>0.0375</x:v>
      </x:c>
    </x:row>
    <x:row r="2982">
      <x:c r="A2982" s="17" t="n">
        <x:v>46049</x:v>
      </x:c>
      <x:c r="B2982" s="20" t="n">
        <x:v>0.0375</x:v>
      </x:c>
    </x:row>
    <x:row r="2983">
      <x:c r="A2983" s="17" t="n">
        <x:v>46050</x:v>
      </x:c>
      <x:c r="B2983" s="20" t="n">
        <x:v>0.0375</x:v>
      </x:c>
    </x:row>
    <x:row r="2984">
      <x:c r="A2984" s="17" t="n">
        <x:v>46051</x:v>
      </x:c>
      <x:c r="B2984" s="20" t="n">
        <x:v>0.0375</x:v>
      </x:c>
    </x:row>
    <x:row r="2985">
      <x:c r="A2985" s="17" t="n">
        <x:v>46052</x:v>
      </x:c>
      <x:c r="B2985" s="20" t="n">
        <x:v>0.0375</x:v>
      </x:c>
    </x:row>
    <x:row r="2986">
      <x:c r="A2986" s="17" t="n">
        <x:v>46053</x:v>
      </x:c>
      <x:c r="B2986" s="20" t="n">
        <x:v>0.0375</x:v>
      </x:c>
    </x:row>
    <x:row r="2987">
      <x:c r="A2987" s="17" t="n">
        <x:v>46054</x:v>
      </x:c>
      <x:c r="B2987" s="20" t="n">
        <x:v>0.0375</x:v>
      </x:c>
    </x:row>
    <x:row r="2988">
      <x:c r="A2988" s="17" t="n">
        <x:v>46055</x:v>
      </x:c>
      <x:c r="B2988" s="20" t="n">
        <x:v>0.0375</x:v>
      </x:c>
    </x:row>
    <x:row r="2989">
      <x:c r="A2989" s="17" t="n">
        <x:v>46056</x:v>
      </x:c>
      <x:c r="B2989" s="20" t="n">
        <x:v>0.0375</x:v>
      </x:c>
    </x:row>
    <x:row r="2990">
      <x:c r="A2990" s="17" t="n">
        <x:v>46057</x:v>
      </x:c>
      <x:c r="B2990" s="20" t="n">
        <x:v>0.0375</x:v>
      </x:c>
    </x:row>
    <x:row r="2991">
      <x:c r="A2991" s="17" t="n">
        <x:v>46058</x:v>
      </x:c>
      <x:c r="B2991" s="20" t="n">
        <x:v>0.0375</x:v>
      </x:c>
    </x:row>
    <x:row r="2992">
      <x:c r="A2992" s="17" t="n">
        <x:v>46059</x:v>
      </x:c>
      <x:c r="B2992" s="20" t="n">
        <x:v>0.0375</x:v>
      </x:c>
    </x:row>
    <x:row r="2993">
      <x:c r="A2993" s="17" t="n">
        <x:v>46060</x:v>
      </x:c>
      <x:c r="B2993" s="20" t="n">
        <x:v>0.0375</x:v>
      </x:c>
    </x:row>
    <x:row r="2994">
      <x:c r="A2994" s="17" t="n">
        <x:v>46061</x:v>
      </x:c>
      <x:c r="B2994" s="20" t="n">
        <x:v>0.0375</x:v>
      </x:c>
    </x:row>
    <x:row r="2995">
      <x:c r="A2995" s="17" t="n">
        <x:v>46062</x:v>
      </x:c>
      <x:c r="B2995" s="20" t="n">
        <x:v>0.0375</x:v>
      </x:c>
    </x:row>
    <x:row r="2996">
      <x:c r="A2996" s="17" t="n">
        <x:v>46063</x:v>
      </x:c>
      <x:c r="B2996" s="20" t="n">
        <x:v>0.0375</x:v>
      </x:c>
    </x:row>
    <x:row r="2997">
      <x:c r="A2997" s="17" t="n">
        <x:v>46064</x:v>
      </x:c>
      <x:c r="B2997" s="20" t="n">
        <x:v>0.0375</x:v>
      </x:c>
    </x:row>
    <x:row r="2998">
      <x:c r="A2998" s="17" t="n">
        <x:v>46065</x:v>
      </x:c>
      <x:c r="B2998" s="20" t="n">
        <x:v>0.0375</x:v>
      </x:c>
    </x:row>
    <x:row r="2999">
      <x:c r="A2999" s="17" t="n">
        <x:v>46066</x:v>
      </x:c>
      <x:c r="B2999" s="20" t="n">
        <x:v>0.0375</x:v>
      </x:c>
    </x:row>
    <x:row r="3000">
      <x:c r="A3000" s="17" t="n">
        <x:v>46067</x:v>
      </x:c>
      <x:c r="B3000" s="20" t="n">
        <x:v>0.0375</x:v>
      </x:c>
    </x:row>
    <x:row r="3001">
      <x:c r="A3001" s="17" t="n">
        <x:v>46068</x:v>
      </x:c>
      <x:c r="B3001" s="20" t="n">
        <x:v>0.0375</x:v>
      </x:c>
    </x:row>
    <x:row r="3002">
      <x:c r="A3002" s="17" t="n">
        <x:v>46069</x:v>
      </x:c>
      <x:c r="B3002" s="20" t="n">
        <x:v>0.0375</x:v>
      </x:c>
    </x:row>
    <x:row r="3003">
      <x:c r="A3003" s="17" t="n">
        <x:v>46070</x:v>
      </x:c>
      <x:c r="B3003" s="20" t="n">
        <x:v>0.0375</x:v>
      </x:c>
    </x:row>
    <x:row r="3004">
      <x:c r="A3004" s="17" t="n">
        <x:v>46071</x:v>
      </x:c>
      <x:c r="B3004" s="20" t="n">
        <x:v>0.0375</x:v>
      </x:c>
    </x:row>
    <x:row r="3005">
      <x:c r="A3005" s="17" t="n">
        <x:v>46072</x:v>
      </x:c>
      <x:c r="B3005" s="20" t="n">
        <x:v>0.0375</x:v>
      </x:c>
    </x:row>
    <x:row r="3006">
      <x:c r="A3006" s="17" t="n">
        <x:v>46073</x:v>
      </x:c>
      <x:c r="B3006" s="20" t="n">
        <x:v>0.0375</x:v>
      </x:c>
    </x:row>
    <x:row r="3007">
      <x:c r="A3007" s="17" t="n">
        <x:v>46074</x:v>
      </x:c>
      <x:c r="B3007" s="20" t="n">
        <x:v>0.0375</x:v>
      </x:c>
    </x:row>
    <x:row r="3008">
      <x:c r="A3008" s="17" t="n">
        <x:v>46075</x:v>
      </x:c>
      <x:c r="B3008" s="20" t="n">
        <x:v>0.0375</x:v>
      </x:c>
    </x:row>
    <x:row r="3009">
      <x:c r="A3009" s="17" t="n">
        <x:v>46076</x:v>
      </x:c>
      <x:c r="B3009" s="20" t="n">
        <x:v>0.0375</x:v>
      </x:c>
    </x:row>
    <x:row r="3010">
      <x:c r="A3010" s="17" t="n">
        <x:v>46077</x:v>
      </x:c>
      <x:c r="B3010" s="20" t="n">
        <x:v>0.0375</x:v>
      </x:c>
    </x:row>
    <x:row r="3011">
      <x:c r="A3011" s="17" t="n">
        <x:v>46078</x:v>
      </x:c>
      <x:c r="B3011" s="20" t="n">
        <x:v>0.0375</x:v>
      </x:c>
    </x:row>
    <x:row r="3012">
      <x:c r="A3012" s="17" t="n">
        <x:v>46079</x:v>
      </x:c>
      <x:c r="B3012" s="20" t="n">
        <x:v>0.0375</x:v>
      </x:c>
    </x:row>
    <x:row r="3013">
      <x:c r="A3013" s="17" t="n">
        <x:v>46080</x:v>
      </x:c>
      <x:c r="B3013" s="20" t="n">
        <x:v>0.0375</x:v>
      </x:c>
    </x:row>
    <x:row r="3014">
      <x:c r="A3014" s="17" t="n">
        <x:v>46081</x:v>
      </x:c>
      <x:c r="B3014" s="20" t="n">
        <x:v>0.0375</x:v>
      </x:c>
    </x:row>
    <x:row r="3015">
      <x:c r="A3015" s="17" t="n">
        <x:v>46082</x:v>
      </x:c>
      <x:c r="B3015" s="20" t="n">
        <x:v>0.0375</x:v>
      </x:c>
    </x:row>
    <x:row r="3016">
      <x:c r="A3016" s="17" t="n">
        <x:v>46083</x:v>
      </x:c>
      <x:c r="B3016" s="20" t="n">
        <x:v>0.0375</x:v>
      </x:c>
    </x:row>
    <x:row r="3017">
      <x:c r="A3017" s="17" t="n">
        <x:v>46084</x:v>
      </x:c>
      <x:c r="B3017" s="20" t="n">
        <x:v>0.0375</x:v>
      </x:c>
    </x:row>
    <x:row r="3018">
      <x:c r="A3018" s="17" t="n">
        <x:v>46085</x:v>
      </x:c>
      <x:c r="B3018" s="20" t="n">
        <x:v>0.0375</x:v>
      </x:c>
    </x:row>
    <x:row r="3019">
      <x:c r="A3019" s="17" t="n">
        <x:v>46086</x:v>
      </x:c>
      <x:c r="B3019" s="20" t="n">
        <x:v>0.0375</x:v>
      </x:c>
    </x:row>
    <x:row r="3020">
      <x:c r="A3020" s="17" t="n">
        <x:v>46087</x:v>
      </x:c>
      <x:c r="B3020" s="20" t="n">
        <x:v>0.0375</x:v>
      </x:c>
    </x:row>
    <x:row r="3021">
      <x:c r="A3021" s="17" t="n">
        <x:v>46088</x:v>
      </x:c>
      <x:c r="B3021" s="20" t="n">
        <x:v>0.0375</x:v>
      </x:c>
    </x:row>
    <x:row r="3022">
      <x:c r="A3022" s="17" t="n">
        <x:v>46089</x:v>
      </x:c>
      <x:c r="B3022" s="20" t="n">
        <x:v>0.0375</x:v>
      </x:c>
    </x:row>
    <x:row r="3023">
      <x:c r="A3023" s="17" t="n">
        <x:v>46090</x:v>
      </x:c>
      <x:c r="B3023" s="20" t="n">
        <x:v>0.0375</x:v>
      </x:c>
    </x:row>
    <x:row r="3024">
      <x:c r="A3024" s="17" t="n">
        <x:v>46091</x:v>
      </x:c>
      <x:c r="B3024" s="20" t="n">
        <x:v>0.0375</x:v>
      </x:c>
    </x:row>
    <x:row r="3025">
      <x:c r="A3025" s="17" t="n">
        <x:v>46092</x:v>
      </x:c>
      <x:c r="B3025" s="20" t="n">
        <x:v>0.0375</x:v>
      </x:c>
    </x:row>
    <x:row r="3026">
      <x:c r="A3026" s="17" t="n">
        <x:v>46093</x:v>
      </x:c>
      <x:c r="B3026" s="20" t="n">
        <x:v>0.0375</x:v>
      </x:c>
    </x:row>
    <x:row r="3027">
      <x:c r="A3027" s="17" t="n">
        <x:v>46094</x:v>
      </x:c>
      <x:c r="B3027" s="20" t="n">
        <x:v>0.0375</x:v>
      </x:c>
    </x:row>
    <x:row r="3028">
      <x:c r="A3028" s="17" t="n">
        <x:v>46095</x:v>
      </x:c>
      <x:c r="B3028" s="20" t="n">
        <x:v>0.0375</x:v>
      </x:c>
    </x:row>
    <x:row r="3029">
      <x:c r="A3029" s="17" t="n">
        <x:v>46096</x:v>
      </x:c>
      <x:c r="B3029" s="20" t="n">
        <x:v>0.0375</x:v>
      </x:c>
    </x:row>
    <x:row r="3030">
      <x:c r="A3030" s="17" t="n">
        <x:v>46097</x:v>
      </x:c>
      <x:c r="B3030" s="20" t="n">
        <x:v>0.0375</x:v>
      </x:c>
    </x:row>
    <x:row r="3031">
      <x:c r="A3031" s="17" t="n">
        <x:v>46098</x:v>
      </x:c>
      <x:c r="B3031" s="20" t="n">
        <x:v>0.0375</x:v>
      </x:c>
    </x:row>
    <x:row r="3032">
      <x:c r="A3032" s="17" t="n">
        <x:v>46099</x:v>
      </x:c>
      <x:c r="B3032" s="20" t="n">
        <x:v>0.0375</x:v>
      </x:c>
    </x:row>
    <x:row r="3033">
      <x:c r="A3033" s="17" t="n">
        <x:v>46100</x:v>
      </x:c>
      <x:c r="B3033" s="20" t="n">
        <x:v>0.0375</x:v>
      </x:c>
    </x:row>
    <x:row r="3034">
      <x:c r="A3034" s="17" t="n">
        <x:v>46101</x:v>
      </x:c>
      <x:c r="B3034" s="20" t="n">
        <x:v>0.0375</x:v>
      </x:c>
    </x:row>
    <x:row r="3035">
      <x:c r="A3035" s="17" t="n">
        <x:v>46102</x:v>
      </x:c>
      <x:c r="B3035" s="20" t="n">
        <x:v>0.0375</x:v>
      </x:c>
    </x:row>
    <x:row r="3036">
      <x:c r="A3036" s="17" t="n">
        <x:v>46103</x:v>
      </x:c>
      <x:c r="B3036" s="20" t="n">
        <x:v>0.0375</x:v>
      </x:c>
    </x:row>
    <x:row r="3037">
      <x:c r="A3037" s="17" t="n">
        <x:v>46104</x:v>
      </x:c>
      <x:c r="B3037" s="20" t="n">
        <x:v>0.0375</x:v>
      </x:c>
    </x:row>
    <x:row r="3038">
      <x:c r="A3038" s="17" t="n">
        <x:v>46105</x:v>
      </x:c>
      <x:c r="B3038" s="20" t="n">
        <x:v>0.0375</x:v>
      </x:c>
    </x:row>
    <x:row r="3039">
      <x:c r="A3039" s="17" t="n">
        <x:v>46106</x:v>
      </x:c>
      <x:c r="B3039" s="20" t="n">
        <x:v>0.0375</x:v>
      </x:c>
    </x:row>
    <x:row r="3040">
      <x:c r="A3040" s="17" t="n">
        <x:v>46107</x:v>
      </x:c>
      <x:c r="B3040" s="20" t="n">
        <x:v>0.0375</x:v>
      </x:c>
    </x:row>
    <x:row r="3041">
      <x:c r="A3041" s="17" t="n">
        <x:v>46108</x:v>
      </x:c>
      <x:c r="B3041" s="20" t="n">
        <x:v>0.0375</x:v>
      </x:c>
    </x:row>
    <x:row r="3042">
      <x:c r="A3042" s="17" t="n">
        <x:v>46109</x:v>
      </x:c>
      <x:c r="B3042" s="20" t="n">
        <x:v>0.0375</x:v>
      </x:c>
    </x:row>
    <x:row r="3043">
      <x:c r="A3043" s="17" t="n">
        <x:v>46110</x:v>
      </x:c>
      <x:c r="B3043" s="20" t="n">
        <x:v>0.0375</x:v>
      </x:c>
    </x:row>
    <x:row r="3044">
      <x:c r="A3044" s="17" t="n">
        <x:v>46111</x:v>
      </x:c>
      <x:c r="B3044" s="20" t="n">
        <x:v>0.0375</x:v>
      </x:c>
    </x:row>
    <x:row r="3045">
      <x:c r="A3045" s="17" t="n">
        <x:v>46112</x:v>
      </x:c>
      <x:c r="B3045" s="20" t="n">
        <x:v>0.0375</x:v>
      </x:c>
    </x:row>
    <x:row r="3046">
      <x:c r="A3046" s="17" t="n">
        <x:v>46113</x:v>
      </x:c>
      <x:c r="B3046" s="20" t="n">
        <x:v>0.0375</x:v>
      </x:c>
    </x:row>
    <x:row r="3047">
      <x:c r="A3047" s="17" t="n">
        <x:v>46114</x:v>
      </x:c>
      <x:c r="B3047" s="20" t="n">
        <x:v>0.0375</x:v>
      </x:c>
    </x:row>
    <x:row r="3048">
      <x:c r="A3048" s="17" t="n">
        <x:v>46115</x:v>
      </x:c>
      <x:c r="B3048" s="20" t="n">
        <x:v>0.0375</x:v>
      </x:c>
    </x:row>
    <x:row r="3049">
      <x:c r="A3049" s="17" t="n">
        <x:v>46116</x:v>
      </x:c>
      <x:c r="B3049" s="20" t="n">
        <x:v>0.0375</x:v>
      </x:c>
    </x:row>
    <x:row r="3050">
      <x:c r="A3050" s="17" t="n">
        <x:v>46117</x:v>
      </x:c>
      <x:c r="B3050" s="20" t="n">
        <x:v>0.0375</x:v>
      </x:c>
    </x:row>
    <x:row r="3051">
      <x:c r="A3051" s="17" t="n">
        <x:v>46118</x:v>
      </x:c>
      <x:c r="B3051" s="20" t="n">
        <x:v>0.0375</x:v>
      </x:c>
    </x:row>
    <x:row r="3052">
      <x:c r="A3052" s="17" t="n">
        <x:v>46119</x:v>
      </x:c>
      <x:c r="B3052" s="20" t="n">
        <x:v>0.0375</x:v>
      </x:c>
    </x:row>
    <x:row r="3053">
      <x:c r="A3053" s="17" t="n">
        <x:v>46120</x:v>
      </x:c>
      <x:c r="B3053" s="20" t="n">
        <x:v>0.0375</x:v>
      </x:c>
    </x:row>
    <x:row r="3054">
      <x:c r="A3054" s="17" t="n">
        <x:v>46121</x:v>
      </x:c>
      <x:c r="B3054" s="20" t="n">
        <x:v>0.0375</x:v>
      </x:c>
    </x:row>
    <x:row r="3055">
      <x:c r="A3055" s="17" t="n">
        <x:v>46122</x:v>
      </x:c>
      <x:c r="B3055" s="20" t="n">
        <x:v>0.0375</x:v>
      </x:c>
    </x:row>
    <x:row r="3056">
      <x:c r="A3056" s="17" t="n">
        <x:v>46123</x:v>
      </x:c>
      <x:c r="B3056" s="20" t="n">
        <x:v>0.0375</x:v>
      </x:c>
    </x:row>
    <x:row r="3057">
      <x:c r="A3057" s="17" t="n">
        <x:v>46124</x:v>
      </x:c>
      <x:c r="B3057" s="20" t="n">
        <x:v>0.0375</x:v>
      </x:c>
    </x:row>
    <x:row r="3058">
      <x:c r="A3058" s="17" t="n">
        <x:v>46125</x:v>
      </x:c>
      <x:c r="B3058" s="20" t="n">
        <x:v>0.0375</x:v>
      </x:c>
    </x:row>
    <x:row r="3059">
      <x:c r="A3059" s="17" t="n">
        <x:v>46126</x:v>
      </x:c>
      <x:c r="B3059" s="20" t="n">
        <x:v>0.0375</x:v>
      </x:c>
    </x:row>
    <x:row r="3060">
      <x:c r="A3060" s="17" t="n">
        <x:v>46127</x:v>
      </x:c>
      <x:c r="B3060" s="20" t="n">
        <x:v>0.0375</x:v>
      </x:c>
    </x:row>
    <x:row r="3061">
      <x:c r="A3061" s="17" t="n">
        <x:v>46128</x:v>
      </x:c>
      <x:c r="B3061" s="20" t="n">
        <x:v>0.0375</x:v>
      </x:c>
    </x:row>
    <x:row r="3062">
      <x:c r="A3062" s="17" t="n">
        <x:v>46129</x:v>
      </x:c>
      <x:c r="B3062" s="20" t="n">
        <x:v>0.0375</x:v>
      </x:c>
    </x:row>
    <x:row r="3063">
      <x:c r="A3063" s="17" t="n">
        <x:v>46130</x:v>
      </x:c>
      <x:c r="B3063" s="20" t="n">
        <x:v>0.0375</x:v>
      </x:c>
    </x:row>
    <x:row r="3064">
      <x:c r="A3064" s="17" t="n">
        <x:v>46131</x:v>
      </x:c>
      <x:c r="B3064" s="20" t="n">
        <x:v>0.0375</x:v>
      </x:c>
    </x:row>
    <x:row r="3065">
      <x:c r="A3065" s="17" t="n">
        <x:v>46132</x:v>
      </x:c>
      <x:c r="B3065" s="20" t="n">
        <x:v>0.0375</x:v>
      </x:c>
    </x:row>
    <x:row r="3066">
      <x:c r="A3066" s="17" t="n">
        <x:v>46133</x:v>
      </x:c>
      <x:c r="B3066" s="20" t="n">
        <x:v>0.0375</x:v>
      </x:c>
    </x:row>
    <x:row r="3067">
      <x:c r="A3067" s="17" t="n">
        <x:v>46134</x:v>
      </x:c>
      <x:c r="B3067" s="20" t="n">
        <x:v>0.0375</x:v>
      </x:c>
    </x:row>
    <x:row r="3068">
      <x:c r="A3068" s="17" t="n">
        <x:v>46135</x:v>
      </x:c>
      <x:c r="B3068" s="20" t="n">
        <x:v>0.0375</x:v>
      </x:c>
    </x:row>
    <x:row r="3069">
      <x:c r="A3069" s="17" t="n">
        <x:v>46136</x:v>
      </x:c>
      <x:c r="B3069" s="20" t="n">
        <x:v>0.0375</x:v>
      </x:c>
    </x:row>
    <x:row r="3070">
      <x:c r="A3070" s="17" t="n">
        <x:v>46137</x:v>
      </x:c>
      <x:c r="B3070" s="20" t="n">
        <x:v>0.0375</x:v>
      </x:c>
    </x:row>
    <x:row r="3071">
      <x:c r="A3071" s="17" t="n">
        <x:v>46138</x:v>
      </x:c>
      <x:c r="B3071" s="20" t="n">
        <x:v>0.0375</x:v>
      </x:c>
    </x:row>
    <x:row r="3072">
      <x:c r="A3072" s="17" t="n">
        <x:v>46139</x:v>
      </x:c>
      <x:c r="B3072" s="20" t="n">
        <x:v>0.0375</x:v>
      </x:c>
    </x:row>
    <x:row r="3073">
      <x:c r="A3073" s="17" t="n">
        <x:v>46140</x:v>
      </x:c>
      <x:c r="B3073" s="20" t="n">
        <x:v>0.0375</x:v>
      </x:c>
    </x:row>
    <x:row r="3074">
      <x:c r="A3074" s="17" t="n">
        <x:v>46141</x:v>
      </x:c>
      <x:c r="B3074" s="20" t="n">
        <x:v>0.0375</x:v>
      </x:c>
    </x:row>
    <x:row r="3075">
      <x:c r="A3075" s="17" t="n">
        <x:v>46142</x:v>
      </x:c>
      <x:c r="B3075" s="20" t="n">
        <x:v>0.0375</x:v>
      </x:c>
    </x:row>
    <x:row r="3076">
      <x:c r="A3076" s="17" t="n">
        <x:v>46143</x:v>
      </x:c>
      <x:c r="B3076" s="20" t="n">
        <x:v>0.0375</x:v>
      </x:c>
    </x:row>
    <x:row r="3077">
      <x:c r="A3077" s="17" t="n">
        <x:v>46144</x:v>
      </x:c>
      <x:c r="B3077" s="20" t="n">
        <x:v>0.0375</x:v>
      </x:c>
    </x:row>
    <x:row r="3078">
      <x:c r="A3078" s="17" t="n">
        <x:v>46145</x:v>
      </x:c>
      <x:c r="B3078" s="20" t="n">
        <x:v>0.0375</x:v>
      </x:c>
    </x:row>
    <x:row r="3079">
      <x:c r="A3079" s="17" t="n">
        <x:v>46146</x:v>
      </x:c>
      <x:c r="B3079" s="20" t="n">
        <x:v>0.0375</x:v>
      </x:c>
    </x:row>
    <x:row r="3080">
      <x:c r="A3080" s="17" t="n">
        <x:v>46147</x:v>
      </x:c>
      <x:c r="B3080" s="20" t="n">
        <x:v>0.0375</x:v>
      </x:c>
    </x:row>
    <x:row r="3081">
      <x:c r="A3081" s="17" t="n">
        <x:v>46148</x:v>
      </x:c>
      <x:c r="B3081" s="20" t="n">
        <x:v>0.0375</x:v>
      </x:c>
    </x:row>
    <x:row r="3082">
      <x:c r="A3082" s="17" t="n">
        <x:v>46149</x:v>
      </x:c>
      <x:c r="B3082" s="20" t="n">
        <x:v>0.0375</x:v>
      </x:c>
    </x:row>
    <x:row r="3083">
      <x:c r="A3083" s="17" t="n">
        <x:v>46150</x:v>
      </x:c>
      <x:c r="B3083" s="20" t="n">
        <x:v>0.0375</x:v>
      </x:c>
    </x:row>
    <x:row r="3084">
      <x:c r="A3084" s="17" t="n">
        <x:v>46151</x:v>
      </x:c>
      <x:c r="B3084" s="20" t="n">
        <x:v>0.0375</x:v>
      </x:c>
    </x:row>
    <x:row r="3085">
      <x:c r="A3085" s="17" t="n">
        <x:v>46152</x:v>
      </x:c>
      <x:c r="B3085" s="20" t="n">
        <x:v>0.0375</x:v>
      </x:c>
    </x:row>
    <x:row r="3086">
      <x:c r="A3086" s="17" t="n">
        <x:v>46153</x:v>
      </x:c>
      <x:c r="B3086" s="20" t="n">
        <x:v>0.0375</x:v>
      </x:c>
    </x:row>
    <x:row r="3087">
      <x:c r="A3087" s="17" t="n">
        <x:v>46154</x:v>
      </x:c>
      <x:c r="B3087" s="20" t="n">
        <x:v>0.0375</x:v>
      </x:c>
    </x:row>
    <x:row r="3088">
      <x:c r="A3088" s="17" t="n">
        <x:v>46155</x:v>
      </x:c>
      <x:c r="B3088" s="20" t="n">
        <x:v>0.0375</x:v>
      </x:c>
    </x:row>
    <x:row r="3089">
      <x:c r="A3089" s="17" t="n">
        <x:v>46156</x:v>
      </x:c>
      <x:c r="B3089" s="20" t="n">
        <x:v>0.0375</x:v>
      </x:c>
    </x:row>
    <x:row r="3090">
      <x:c r="A3090" s="17" t="n">
        <x:v>46157</x:v>
      </x:c>
      <x:c r="B3090" s="20" t="n">
        <x:v>0.0375</x:v>
      </x:c>
    </x:row>
    <x:row r="3091">
      <x:c r="A3091" s="17" t="n">
        <x:v>46158</x:v>
      </x:c>
      <x:c r="B3091" s="20" t="n">
        <x:v>0.0375</x:v>
      </x:c>
    </x:row>
    <x:row r="3092">
      <x:c r="A3092" s="17" t="n">
        <x:v>46159</x:v>
      </x:c>
      <x:c r="B3092" s="20" t="n">
        <x:v>0.0375</x:v>
      </x:c>
    </x:row>
    <x:row r="3093">
      <x:c r="A3093" s="17" t="n">
        <x:v>46160</x:v>
      </x:c>
      <x:c r="B3093" s="20" t="n">
        <x:v>0.0375</x:v>
      </x:c>
    </x:row>
    <x:row r="3094">
      <x:c r="A3094" s="17" t="n">
        <x:v>46161</x:v>
      </x:c>
      <x:c r="B3094" s="20" t="n">
        <x:v>0.0375</x:v>
      </x:c>
    </x:row>
    <x:row r="3095">
      <x:c r="A3095" s="17" t="n">
        <x:v>46162</x:v>
      </x:c>
      <x:c r="B3095" s="20" t="n">
        <x:v>0.0375</x:v>
      </x:c>
    </x:row>
    <x:row r="3096">
      <x:c r="A3096" s="17" t="n">
        <x:v>46163</x:v>
      </x:c>
      <x:c r="B3096" s="20" t="n">
        <x:v>0.0375</x:v>
      </x:c>
    </x:row>
    <x:row r="3097">
      <x:c r="A3097" s="17" t="n">
        <x:v>46164</x:v>
      </x:c>
      <x:c r="B3097" s="20" t="n">
        <x:v>0.0375</x:v>
      </x:c>
    </x:row>
    <x:row r="3098">
      <x:c r="A3098" s="17" t="n">
        <x:v>46165</x:v>
      </x:c>
      <x:c r="B3098" s="20" t="n">
        <x:v>0.0375</x:v>
      </x:c>
    </x:row>
    <x:row r="3099">
      <x:c r="A3099" s="17" t="n">
        <x:v>46166</x:v>
      </x:c>
      <x:c r="B3099" s="20" t="n">
        <x:v>0.0375</x:v>
      </x:c>
    </x:row>
    <x:row r="3100">
      <x:c r="A3100" s="17" t="n">
        <x:v>46167</x:v>
      </x:c>
      <x:c r="B3100" s="20" t="n">
        <x:v>0.0375</x:v>
      </x:c>
    </x:row>
    <x:row r="3101">
      <x:c r="A3101" s="17" t="n">
        <x:v>46168</x:v>
      </x:c>
      <x:c r="B3101" s="20" t="n">
        <x:v>0.0375</x:v>
      </x:c>
    </x:row>
    <x:row r="3102">
      <x:c r="A3102" s="17" t="n">
        <x:v>46169</x:v>
      </x:c>
      <x:c r="B3102" s="20" t="n">
        <x:v>0.0375</x:v>
      </x:c>
    </x:row>
    <x:row r="3103">
      <x:c r="A3103" s="17" t="n">
        <x:v>46170</x:v>
      </x:c>
      <x:c r="B3103" s="20" t="n">
        <x:v>0.0375</x:v>
      </x:c>
    </x:row>
    <x:row r="3104">
      <x:c r="A3104" s="17" t="n">
        <x:v>46171</x:v>
      </x:c>
      <x:c r="B3104" s="20" t="n">
        <x:v>0.0375</x:v>
      </x:c>
    </x:row>
    <x:row r="3105">
      <x:c r="A3105" s="17" t="n">
        <x:v>46172</x:v>
      </x:c>
      <x:c r="B3105" s="20" t="n">
        <x:v>0.0375</x:v>
      </x:c>
    </x:row>
    <x:row r="3106">
      <x:c r="A3106" s="17" t="n">
        <x:v>46173</x:v>
      </x:c>
      <x:c r="B3106" s="20" t="n">
        <x:v>0.0375</x:v>
      </x:c>
    </x:row>
    <x:row r="3107">
      <x:c r="A3107" s="17" t="n">
        <x:v>46174</x:v>
      </x:c>
      <x:c r="B3107" s="20" t="n">
        <x:v>0.0375</x:v>
      </x:c>
    </x:row>
    <x:row r="3108">
      <x:c r="A3108" s="17" t="n">
        <x:v>46175</x:v>
      </x:c>
      <x:c r="B3108" s="20" t="n">
        <x:v>0.0375</x:v>
      </x:c>
    </x:row>
    <x:row r="3109">
      <x:c r="A3109" s="17" t="n">
        <x:v>46176</x:v>
      </x:c>
      <x:c r="B3109" s="20" t="n">
        <x:v>0.0375</x:v>
      </x:c>
    </x:row>
    <x:row r="3110">
      <x:c r="A3110" s="17" t="n">
        <x:v>46177</x:v>
      </x:c>
      <x:c r="B3110" s="20" t="n">
        <x:v>0.0375</x:v>
      </x:c>
    </x:row>
    <x:row r="3111">
      <x:c r="A3111" s="17" t="n">
        <x:v>46178</x:v>
      </x:c>
      <x:c r="B3111" s="20" t="n">
        <x:v>0.0375</x:v>
      </x:c>
    </x:row>
    <x:row r="3112">
      <x:c r="A3112" s="17" t="n">
        <x:v>46179</x:v>
      </x:c>
      <x:c r="B3112" s="20" t="n">
        <x:v>0.0375</x:v>
      </x:c>
    </x:row>
    <x:row r="3113">
      <x:c r="A3113" s="17" t="n">
        <x:v>46180</x:v>
      </x:c>
      <x:c r="B3113" s="20" t="n">
        <x:v>0.0375</x:v>
      </x:c>
    </x:row>
    <x:row r="3114">
      <x:c r="A3114" s="17" t="n">
        <x:v>46181</x:v>
      </x:c>
      <x:c r="B3114" s="20" t="n">
        <x:v>0.0375</x:v>
      </x:c>
    </x:row>
    <x:row r="3115">
      <x:c r="A3115" s="17" t="n">
        <x:v>46182</x:v>
      </x:c>
      <x:c r="B3115" s="20" t="n">
        <x:v>0.0375</x:v>
      </x:c>
    </x:row>
    <x:row r="3116">
      <x:c r="A3116" s="17" t="n">
        <x:v>46183</x:v>
      </x:c>
      <x:c r="B3116" s="20" t="n">
        <x:v>0.0375</x:v>
      </x:c>
    </x:row>
    <x:row r="3117">
      <x:c r="A3117" s="17" t="n">
        <x:v>46184</x:v>
      </x:c>
      <x:c r="B3117" s="20" t="n">
        <x:v>0.0375</x:v>
      </x:c>
    </x:row>
    <x:row r="3118">
      <x:c r="A3118" s="17" t="n">
        <x:v>46185</x:v>
      </x:c>
      <x:c r="B3118" s="20" t="n">
        <x:v>0.0375</x:v>
      </x:c>
    </x:row>
    <x:row r="3119">
      <x:c r="A3119" s="17" t="n">
        <x:v>46186</x:v>
      </x:c>
      <x:c r="B3119" s="20" t="n">
        <x:v>0.0375</x:v>
      </x:c>
    </x:row>
    <x:row r="3120">
      <x:c r="A3120" s="17" t="n">
        <x:v>46187</x:v>
      </x:c>
      <x:c r="B3120" s="20" t="n">
        <x:v>0.0375</x:v>
      </x:c>
    </x:row>
    <x:row r="3121">
      <x:c r="A3121" s="17" t="n">
        <x:v>46188</x:v>
      </x:c>
      <x:c r="B3121" s="20" t="n">
        <x:v>0.0375</x:v>
      </x:c>
    </x:row>
    <x:row r="3122">
      <x:c r="A3122" s="17" t="n">
        <x:v>46189</x:v>
      </x:c>
      <x:c r="B3122" s="20" t="n">
        <x:v>0.0375</x:v>
      </x:c>
    </x:row>
    <x:row r="3123">
      <x:c r="A3123" s="17" t="n">
        <x:v>46190</x:v>
      </x:c>
      <x:c r="B3123" s="20" t="n">
        <x:v>0.0375</x:v>
      </x:c>
    </x:row>
    <x:row r="3124">
      <x:c r="A3124" s="17" t="n">
        <x:v>46191</x:v>
      </x:c>
      <x:c r="B3124" s="20" t="n">
        <x:v>0.0375</x:v>
      </x:c>
    </x:row>
    <x:row r="3125">
      <x:c r="A3125" s="17" t="n">
        <x:v>46192</x:v>
      </x:c>
      <x:c r="B3125" s="20" t="n">
        <x:v>0.0375</x:v>
      </x:c>
    </x:row>
    <x:row r="3126">
      <x:c r="A3126" s="17" t="n">
        <x:v>46193</x:v>
      </x:c>
      <x:c r="B3126" s="20" t="n">
        <x:v>0.0375</x:v>
      </x:c>
    </x:row>
    <x:row r="3127">
      <x:c r="A3127" s="17" t="n">
        <x:v>46194</x:v>
      </x:c>
      <x:c r="B3127" s="20" t="n">
        <x:v>0.0375</x:v>
      </x:c>
    </x:row>
    <x:row r="3128">
      <x:c r="A3128" s="17" t="n">
        <x:v>46195</x:v>
      </x:c>
      <x:c r="B3128" s="20" t="n">
        <x:v>0.0375</x:v>
      </x:c>
    </x:row>
    <x:row r="3129">
      <x:c r="A3129" s="17" t="n">
        <x:v>46196</x:v>
      </x:c>
      <x:c r="B3129" s="20" t="n">
        <x:v>0.0375</x:v>
      </x:c>
    </x:row>
    <x:row r="3130">
      <x:c r="A3130" s="17" t="n">
        <x:v>46197</x:v>
      </x:c>
      <x:c r="B3130" s="20" t="n">
        <x:v>0.0375</x:v>
      </x:c>
    </x:row>
    <x:row r="3131">
      <x:c r="A3131" s="17" t="n">
        <x:v>46198</x:v>
      </x:c>
      <x:c r="B3131" s="20" t="n">
        <x:v>0.0375</x:v>
      </x:c>
    </x:row>
    <x:row r="3132">
      <x:c r="A3132" s="17" t="n">
        <x:v>46199</x:v>
      </x:c>
      <x:c r="B3132" s="20" t="n">
        <x:v>0.0375</x:v>
      </x:c>
    </x:row>
    <x:row r="3133">
      <x:c r="A3133" s="17" t="n">
        <x:v>46200</x:v>
      </x:c>
      <x:c r="B3133" s="20" t="n">
        <x:v>0.0375</x:v>
      </x:c>
    </x:row>
    <x:row r="3134">
      <x:c r="A3134" s="17" t="n">
        <x:v>46201</x:v>
      </x:c>
      <x:c r="B3134" s="20" t="n">
        <x:v>0.0375</x:v>
      </x:c>
    </x:row>
    <x:row r="3135">
      <x:c r="A3135" s="17" t="n">
        <x:v>46202</x:v>
      </x:c>
      <x:c r="B3135" s="20" t="n">
        <x:v>0.0375</x:v>
      </x:c>
    </x:row>
    <x:row r="3136">
      <x:c r="A3136" s="17" t="n">
        <x:v>46203</x:v>
      </x:c>
      <x:c r="B3136" s="20" t="n">
        <x:v>0.0375</x:v>
      </x:c>
    </x:row>
    <x:row r="3137">
      <x:c r="A3137" s="17" t="n">
        <x:v>46204</x:v>
      </x:c>
      <x:c r="B3137" s="20" t="n">
        <x:v>0.0375</x:v>
      </x:c>
    </x:row>
    <x:row r="3138">
      <x:c r="A3138" s="17" t="n">
        <x:v>46205</x:v>
      </x:c>
      <x:c r="B3138" s="20" t="n">
        <x:v>0.0375</x:v>
      </x:c>
    </x:row>
    <x:row r="3139">
      <x:c r="A3139" s="17" t="n">
        <x:v>46206</x:v>
      </x:c>
      <x:c r="B3139" s="20" t="n">
        <x:v>0.0375</x:v>
      </x:c>
    </x:row>
    <x:row r="3140">
      <x:c r="A3140" s="17" t="n">
        <x:v>46207</x:v>
      </x:c>
      <x:c r="B3140" s="20" t="n">
        <x:v>0.0375</x:v>
      </x:c>
    </x:row>
    <x:row r="3141">
      <x:c r="A3141" s="17" t="n">
        <x:v>46208</x:v>
      </x:c>
      <x:c r="B3141" s="20" t="n">
        <x:v>0.0375</x:v>
      </x:c>
    </x:row>
    <x:row r="3142">
      <x:c r="A3142" s="17" t="n">
        <x:v>46209</x:v>
      </x:c>
      <x:c r="B3142" s="20" t="n">
        <x:v>0.0375</x:v>
      </x:c>
    </x:row>
    <x:row r="3143">
      <x:c r="A3143" s="17" t="n">
        <x:v>46210</x:v>
      </x:c>
      <x:c r="B3143" s="20" t="n">
        <x:v>0.0375</x:v>
      </x:c>
    </x:row>
    <x:row r="3144">
      <x:c r="A3144" s="17" t="n">
        <x:v>46211</x:v>
      </x:c>
      <x:c r="B3144" s="20" t="n">
        <x:v>0.0375</x:v>
      </x:c>
    </x:row>
    <x:row r="3145">
      <x:c r="A3145" s="17" t="n">
        <x:v>46212</x:v>
      </x:c>
      <x:c r="B3145" s="20" t="n">
        <x:v>0.0375</x:v>
      </x:c>
    </x:row>
    <x:row r="3146">
      <x:c r="A3146" s="17" t="n">
        <x:v>46213</x:v>
      </x:c>
      <x:c r="B3146" s="20" t="n">
        <x:v>0.0375</x:v>
      </x:c>
    </x:row>
    <x:row r="3147">
      <x:c r="A3147" s="17" t="n">
        <x:v>46214</x:v>
      </x:c>
      <x:c r="B3147" s="20" t="n">
        <x:v>0.0375</x:v>
      </x:c>
    </x:row>
    <x:row r="3148">
      <x:c r="A3148" s="17" t="n">
        <x:v>46215</x:v>
      </x:c>
      <x:c r="B3148" s="20" t="n">
        <x:v>0.0375</x:v>
      </x:c>
    </x:row>
    <x:row r="3149">
      <x:c r="A3149" s="17" t="n">
        <x:v>46216</x:v>
      </x:c>
      <x:c r="B3149" s="20" t="n">
        <x:v>0.0375</x:v>
      </x:c>
    </x:row>
    <x:row r="3150">
      <x:c r="A3150" s="17" t="n">
        <x:v>46217</x:v>
      </x:c>
      <x:c r="B3150" s="20" t="n">
        <x:v>0.0375</x:v>
      </x:c>
    </x:row>
    <x:row r="3151">
      <x:c r="A3151" s="17" t="n">
        <x:v>46218</x:v>
      </x:c>
      <x:c r="B3151" s="20" t="n">
        <x:v>0.0375</x:v>
      </x:c>
    </x:row>
    <x:row r="3152">
      <x:c r="A3152" s="17" t="n">
        <x:v>46219</x:v>
      </x:c>
      <x:c r="B3152" s="20" t="n">
        <x:v>0.0375</x:v>
      </x:c>
    </x:row>
    <x:row r="3153">
      <x:c r="A3153" s="17" t="n">
        <x:v>46220</x:v>
      </x:c>
      <x:c r="B3153" s="20" t="n">
        <x:v>0.0375</x:v>
      </x:c>
    </x:row>
    <x:row r="3154">
      <x:c r="A3154" s="17" t="n">
        <x:v>46221</x:v>
      </x:c>
      <x:c r="B3154" s="20" t="n">
        <x:v>0.0375</x:v>
      </x:c>
    </x:row>
    <x:row r="3155">
      <x:c r="A3155" s="17" t="n">
        <x:v>46222</x:v>
      </x:c>
      <x:c r="B3155" s="20" t="n">
        <x:v>0.0375</x:v>
      </x:c>
    </x:row>
    <x:row r="3156">
      <x:c r="A3156" s="17" t="n">
        <x:v>46223</x:v>
      </x:c>
      <x:c r="B3156" s="20" t="n">
        <x:v>0.0375</x:v>
      </x:c>
    </x:row>
    <x:row r="3157">
      <x:c r="A3157" s="17" t="n">
        <x:v>46224</x:v>
      </x:c>
      <x:c r="B3157" s="20" t="n">
        <x:v>0.0375</x:v>
      </x:c>
    </x:row>
    <x:row r="3158">
      <x:c r="A3158" s="17" t="n">
        <x:v>46225</x:v>
      </x:c>
      <x:c r="B3158" s="20" t="n">
        <x:v>0.0375</x:v>
      </x:c>
    </x:row>
    <x:row r="3159">
      <x:c r="A3159" s="17" t="n">
        <x:v>46226</x:v>
      </x:c>
      <x:c r="B3159" s="20" t="n">
        <x:v>0.0375</x:v>
      </x:c>
    </x:row>
    <x:row r="3160">
      <x:c r="A3160" s="17" t="n">
        <x:v>46227</x:v>
      </x:c>
      <x:c r="B3160" s="20" t="n">
        <x:v>0.0375</x:v>
      </x:c>
    </x:row>
    <x:row r="3161">
      <x:c r="A3161" s="17" t="n">
        <x:v>46228</x:v>
      </x:c>
      <x:c r="B3161" s="20" t="n">
        <x:v>0.0375</x:v>
      </x:c>
    </x:row>
    <x:row r="3162">
      <x:c r="A3162" s="17" t="n">
        <x:v>46229</x:v>
      </x:c>
      <x:c r="B3162" s="20" t="n">
        <x:v>0.0375</x:v>
      </x:c>
    </x:row>
    <x:row r="3163">
      <x:c r="A3163" s="17" t="n">
        <x:v>46230</x:v>
      </x:c>
      <x:c r="B3163" s="20" t="n">
        <x:v>0.0375</x:v>
      </x:c>
    </x:row>
    <x:row r="3164">
      <x:c r="A3164" s="17" t="n">
        <x:v>46231</x:v>
      </x:c>
      <x:c r="B3164" s="20" t="n">
        <x:v>0.0375</x:v>
      </x:c>
    </x:row>
    <x:row r="3165">
      <x:c r="A3165" s="17" t="n">
        <x:v>46232</x:v>
      </x:c>
      <x:c r="B3165" s="20" t="n">
        <x:v>0.0375</x:v>
      </x:c>
    </x:row>
    <x:row r="3166">
      <x:c r="A3166" s="17" t="n">
        <x:v>46233</x:v>
      </x:c>
      <x:c r="B3166" s="20" t="n">
        <x:v>0.0375</x:v>
      </x:c>
    </x:row>
    <x:row r="3167">
      <x:c r="A3167" s="17" t="n">
        <x:v>46234</x:v>
      </x:c>
      <x:c r="B3167" s="20" t="n">
        <x:v>0.0375</x:v>
      </x:c>
    </x:row>
    <x:row r="3168">
      <x:c r="A3168" s="17" t="n">
        <x:v>46235</x:v>
      </x:c>
      <x:c r="B3168" s="20" t="n">
        <x:v>0.0375</x:v>
      </x:c>
    </x:row>
    <x:row r="3169">
      <x:c r="A3169" s="17" t="n">
        <x:v>46236</x:v>
      </x:c>
      <x:c r="B3169" s="20" t="n">
        <x:v>0.0375</x:v>
      </x:c>
    </x:row>
    <x:row r="3170">
      <x:c r="A3170" s="17" t="n">
        <x:v>46237</x:v>
      </x:c>
      <x:c r="B3170" s="20" t="n">
        <x:v>0.0375</x:v>
      </x:c>
    </x:row>
    <x:row r="3171">
      <x:c r="A3171" s="17" t="n">
        <x:v>46238</x:v>
      </x:c>
      <x:c r="B3171" s="20" t="n">
        <x:v>0.0375</x:v>
      </x:c>
    </x:row>
    <x:row r="3172">
      <x:c r="A3172" s="17" t="n">
        <x:v>46239</x:v>
      </x:c>
      <x:c r="B3172" s="20" t="n">
        <x:v>0.0375</x:v>
      </x:c>
    </x:row>
    <x:row r="3173">
      <x:c r="A3173" s="17" t="n">
        <x:v>46240</x:v>
      </x:c>
      <x:c r="B3173" s="20" t="n">
        <x:v>0.0375</x:v>
      </x:c>
    </x:row>
    <x:row r="3174">
      <x:c r="A3174" s="17" t="n">
        <x:v>46241</x:v>
      </x:c>
      <x:c r="B3174" s="20" t="n">
        <x:v>0.0375</x:v>
      </x:c>
    </x:row>
    <x:row r="3175">
      <x:c r="A3175" s="17" t="n">
        <x:v>46242</x:v>
      </x:c>
      <x:c r="B3175" s="20" t="n">
        <x:v>0.0375</x:v>
      </x:c>
    </x:row>
    <x:row r="3176">
      <x:c r="A3176" s="17" t="n">
        <x:v>46243</x:v>
      </x:c>
      <x:c r="B3176" s="20" t="n">
        <x:v>0.0375</x:v>
      </x:c>
    </x:row>
    <x:row r="3177">
      <x:c r="A3177" s="17" t="n">
        <x:v>46244</x:v>
      </x:c>
      <x:c r="B3177" s="20" t="n">
        <x:v>0.0375</x:v>
      </x:c>
    </x:row>
    <x:row r="3178">
      <x:c r="A3178" s="17" t="n">
        <x:v>46245</x:v>
      </x:c>
      <x:c r="B3178" s="20" t="n">
        <x:v>0.0375</x:v>
      </x:c>
    </x:row>
    <x:row r="3179">
      <x:c r="A3179" s="17" t="n">
        <x:v>46246</x:v>
      </x:c>
      <x:c r="B3179" s="20" t="n">
        <x:v>0.0375</x:v>
      </x:c>
    </x:row>
    <x:row r="3180">
      <x:c r="A3180" s="17" t="n">
        <x:v>46247</x:v>
      </x:c>
      <x:c r="B3180" s="20" t="n">
        <x:v>0.0375</x:v>
      </x:c>
    </x:row>
    <x:row r="3181">
      <x:c r="A3181" s="17" t="n">
        <x:v>46248</x:v>
      </x:c>
      <x:c r="B3181" s="20" t="n">
        <x:v>0.0375</x:v>
      </x:c>
    </x:row>
    <x:row r="3182">
      <x:c r="A3182" s="17" t="n">
        <x:v>46249</x:v>
      </x:c>
      <x:c r="B3182" s="20" t="n">
        <x:v>0.0375</x:v>
      </x:c>
    </x:row>
    <x:row r="3183">
      <x:c r="A3183" s="17" t="n">
        <x:v>46250</x:v>
      </x:c>
      <x:c r="B3183" s="20" t="n">
        <x:v>0.0375</x:v>
      </x:c>
    </x:row>
    <x:row r="3184">
      <x:c r="A3184" s="17" t="n">
        <x:v>46251</x:v>
      </x:c>
      <x:c r="B3184" s="20" t="n">
        <x:v>0.0375</x:v>
      </x:c>
    </x:row>
    <x:row r="3185">
      <x:c r="A3185" s="17" t="n">
        <x:v>46252</x:v>
      </x:c>
      <x:c r="B3185" s="20" t="n">
        <x:v>0.0375</x:v>
      </x:c>
    </x:row>
    <x:row r="3186">
      <x:c r="A3186" s="17" t="n">
        <x:v>46253</x:v>
      </x:c>
      <x:c r="B3186" s="20" t="n">
        <x:v>0.0375</x:v>
      </x:c>
    </x:row>
    <x:row r="3187">
      <x:c r="A3187" s="17" t="n">
        <x:v>46254</x:v>
      </x:c>
      <x:c r="B3187" s="20" t="n">
        <x:v>0.0375</x:v>
      </x:c>
    </x:row>
    <x:row r="3188">
      <x:c r="A3188" s="17" t="n">
        <x:v>46255</x:v>
      </x:c>
      <x:c r="B3188" s="20" t="n">
        <x:v>0.0375</x:v>
      </x:c>
    </x:row>
    <x:row r="3189">
      <x:c r="A3189" s="17" t="n">
        <x:v>46256</x:v>
      </x:c>
      <x:c r="B3189" s="20" t="n">
        <x:v>0.0375</x:v>
      </x:c>
    </x:row>
    <x:row r="3190">
      <x:c r="A3190" s="17" t="n">
        <x:v>46257</x:v>
      </x:c>
      <x:c r="B3190" s="20" t="n">
        <x:v>0.0375</x:v>
      </x:c>
    </x:row>
    <x:row r="3191">
      <x:c r="A3191" s="17" t="n">
        <x:v>46258</x:v>
      </x:c>
      <x:c r="B3191" s="20" t="n">
        <x:v>0.0375</x:v>
      </x:c>
    </x:row>
    <x:row r="3192">
      <x:c r="A3192" s="17" t="n">
        <x:v>46259</x:v>
      </x:c>
      <x:c r="B3192" s="20" t="n">
        <x:v>0.0375</x:v>
      </x:c>
    </x:row>
    <x:row r="3193">
      <x:c r="A3193" s="17" t="n">
        <x:v>46260</x:v>
      </x:c>
      <x:c r="B3193" s="20" t="n">
        <x:v>0.0375</x:v>
      </x:c>
    </x:row>
    <x:row r="3194">
      <x:c r="A3194" s="17" t="n">
        <x:v>46261</x:v>
      </x:c>
      <x:c r="B3194" s="20" t="n">
        <x:v>0.0375</x:v>
      </x:c>
    </x:row>
    <x:row r="3195">
      <x:c r="A3195" s="17" t="n">
        <x:v>46262</x:v>
      </x:c>
      <x:c r="B3195" s="20" t="n">
        <x:v>0.0375</x:v>
      </x:c>
    </x:row>
    <x:row r="3196">
      <x:c r="A3196" s="17" t="n">
        <x:v>46263</x:v>
      </x:c>
      <x:c r="B3196" s="20" t="n">
        <x:v>0.0375</x:v>
      </x:c>
    </x:row>
    <x:row r="3197">
      <x:c r="A3197" s="17" t="n">
        <x:v>46264</x:v>
      </x:c>
      <x:c r="B3197" s="20" t="n">
        <x:v>0.0375</x:v>
      </x:c>
    </x:row>
    <x:row r="3198">
      <x:c r="A3198" s="17" t="n">
        <x:v>46265</x:v>
      </x:c>
      <x:c r="B3198" s="20" t="n">
        <x:v>0.0375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58" hidden="0" customWidth="1"/>
    <x:col min="4" max="4" width="42" hidden="0" customWidth="1"/>
  </x:cols>
  <x:sheetData>
    <x:row r="1">
      <x:c r="A1" s="3" t="str">
        <x:v>来源、口径与限制</x:v>
      </x:c>
      <x:c r="B1" s="3"/>
      <x:c r="C1" s="3"/>
      <x:c r="D1" s="3"/>
    </x:row>
    <x:row r="3">
      <x:c r="A3" s="14" t="str">
        <x:v>项目</x:v>
      </x:c>
      <x:c r="B3" s="15" t="str">
        <x:v>口径/值</x:v>
      </x:c>
      <x:c r="C3" s="15" t="str">
        <x:v>来源</x:v>
      </x:c>
      <x:c r="D3" s="16" t="str">
        <x:v>备注</x:v>
      </x:c>
    </x:row>
    <x:row r="4" ht="34" customHeight="1">
      <x:c r="A4" s="47" t="str">
        <x:v>政策事件</x:v>
      </x:c>
      <x:c r="B4" s="47" t="str">
        <x:v>FOMC 例会及 2020-03-03/15 紧急会议</x:v>
      </x:c>
      <x:c r="C4" s="47" t="str">
        <x:v>https://www.federalreserve.gov/monetarypolicy/fomccalendars.htm</x:v>
      </x:c>
      <x:c r="D4" s="47" t="str">
        <x:v>事件日为声明日</x:v>
      </x:c>
    </x:row>
    <x:row r="5" ht="34" customHeight="1">
      <x:c r="A5" s="47" t="str">
        <x:v>政策利率</x:v>
      </x:c>
      <x:c r="B5" s="47" t="str">
        <x:v>Federal Funds Target Range - Upper Limit (DFEDTARU)</x:v>
      </x:c>
      <x:c r="C5" s="47" t="str">
        <x:v>https://fred.stlouisfed.org/series/DFEDTARU</x:v>
      </x:c>
      <x:c r="D5" s="47" t="str">
        <x:v>变动幅度按决议日与次日上限差计算</x:v>
      </x:c>
    </x:row>
    <x:row r="6" ht="34" customHeight="1">
      <x:c r="A6" s="47" t="str">
        <x:v>黄金价格</x:v>
      </x:c>
      <x:c r="B6" s="47" t="str">
        <x:v>XAU/USD 日线收盘</x:v>
      </x:c>
      <x:c r="C6" s="47" t="str">
        <x:v>https://github.com/FeziweMelvin/XAUUSD-Gold-Price</x:v>
      </x:c>
      <x:c r="D6" s="47" t="str">
        <x:v>MetaTrader 4 来源；当前文件截止 2025-06-06</x:v>
      </x:c>
    </x:row>
    <x:row r="7" ht="34" customHeight="1">
      <x:c r="A7" s="47" t="str">
        <x:v>窗口</x:v>
      </x:c>
      <x:c r="B7" s="47" t="str">
        <x:v>1/3/5/10/20/60 个交易日</x:v>
      </x:c>
      <x:c r="C7" s="47" t="str">
        <x:v>本工作簿计算</x:v>
      </x:c>
      <x:c r="D7" s="47" t="str">
        <x:v>决议日无交易则取其后首个交易日</x:v>
      </x:c>
    </x:row>
    <x:row r="8" ht="34" customHeight="1">
      <x:c r="A8" s="47" t="str">
        <x:v>分类阈值</x:v>
      </x:c>
      <x:c r="B8" s="47" t="str">
        <x:v>&gt;+1% 上涨；&lt;-1% 下跌；其余震荡</x:v>
      </x:c>
      <x:c r="C8" s="47" t="str">
        <x:v>本工作簿假设</x:v>
      </x:c>
      <x:c r="D8" s="47" t="str">
        <x:v>可按研究偏好调整</x:v>
      </x:c>
    </x:row>
    <x:row r="9" ht="34" customHeight="1">
      <x:c r="A9" s="47" t="str">
        <x:v>完整性</x:v>
      </x:c>
      <x:c r="B9" s="47" t="str">
        <x:v>政策至 2026-08-31；黄金至 2025-06-06</x:v>
      </x:c>
      <x:c r="C9" s="47" t="str">
        <x:v>原始文件检查</x:v>
      </x:c>
      <x:c r="D9" s="47" t="str">
        <x:v>后段政策保留但不参与未满窗口统计</x:v>
      </x:c>
    </x:row>
    <x:row r="10" ht="34" customHeight="1">
      <x:c r="A10" s="47" t="str">
        <x:v>因果限制</x:v>
      </x:c>
      <x:c r="B10" s="47" t="str">
        <x:v>事件后收益是条件统计，不是严格因果识别</x:v>
      </x:c>
      <x:c r="C10" s="47" t="str">
        <x:v>研究说明</x:v>
      </x:c>
      <x:c r="D10" s="47" t="str">
        <x:v>未控制市场预期、通胀、美元和风险溢价</x:v>
      </x:c>
    </x:row>
    <x:row r="11" ht="34" customHeight="1">
      <x:c r="A11" s="47" t="str">
        <x:v>用途</x:v>
      </x:c>
      <x:c r="B11" s="47" t="str">
        <x:v>历史归纳与情景参考</x:v>
      </x:c>
      <x:c r="C11" s="47" t="str">
        <x:v>研究说明</x:v>
      </x:c>
      <x:c r="D11" s="47" t="str">
        <x:v>不构成投资建议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2" hidden="0" customWidth="1"/>
  </x:cols>
  <x:sheetData>
    <x:row r="1">
      <x:c r="A1" s="3" t="str">
        <x:v>数据与模型检查</x:v>
      </x:c>
      <x:c r="B1" s="3"/>
      <x:c r="C1" s="3"/>
      <x:c r="D1" s="3"/>
      <x:c r="E1" s="3"/>
      <x:c r="F1" s="3"/>
    </x:row>
    <x:row r="3">
      <x:c r="A3" s="14" t="str">
        <x:v>检查项</x:v>
      </x:c>
      <x:c r="B3" s="15" t="str">
        <x:v>实际</x:v>
      </x:c>
      <x:c r="C3" s="15" t="str">
        <x:v>预期</x:v>
      </x:c>
      <x:c r="D3" s="15" t="str">
        <x:v>差异</x:v>
      </x:c>
      <x:c r="E3" s="15" t="str">
        <x:v>状态</x:v>
      </x:c>
      <x:c r="F3" s="16" t="str">
        <x:v>说明</x:v>
      </x:c>
    </x:row>
    <x:row r="4">
      <x:c r="A4" t="str">
        <x:v>政策事件数量</x:v>
      </x:c>
      <x:c r="B4" t="n">
        <x:f>COUNTA('事件研究'!$B$5:$B$74)</x:f>
        <x:v>70</x:v>
      </x:c>
      <x:c r="C4" t="n">
        <x:v>70</x:v>
      </x:c>
      <x:c r="D4" t="n">
        <x:f>B4-C4</x:f>
        <x:v>0</x:v>
      </x:c>
      <x:c r="E4" t="str">
        <x:f>IF(D4=0,"OK","检查")</x:f>
        <x:v>OK</x:v>
      </x:c>
      <x:c r="F4" t="str">
        <x:v>事件表覆盖</x:v>
      </x:c>
    </x:row>
    <x:row r="5">
      <x:c r="A5" t="str">
        <x:v>黄金最早日期</x:v>
      </x:c>
      <x:c r="B5" s="17" t="n">
        <x:f>MIN('黄金价格'!$A$3:$A$1940)</x:f>
        <x:v>43070</x:v>
      </x:c>
      <x:c r="C5" s="17" t="n">
        <x:v>43070</x:v>
      </x:c>
      <x:c r="D5" t="n">
        <x:f>B5-C5</x:f>
        <x:v>0</x:v>
      </x:c>
      <x:c r="E5" t="str">
        <x:f>IF(D5=0,"OK","检查")</x:f>
        <x:v>OK</x:v>
      </x:c>
      <x:c r="F5" t="str">
        <x:v>原始价格覆盖</x:v>
      </x:c>
    </x:row>
    <x:row r="6">
      <x:c r="A6" t="str">
        <x:v>黄金最晚日期</x:v>
      </x:c>
      <x:c r="B6" s="17" t="n">
        <x:f>MAX('黄金价格'!$A$3:$A$1940)</x:f>
        <x:v>45814</x:v>
      </x:c>
      <x:c r="C6" s="17" t="n">
        <x:v>45814</x:v>
      </x:c>
      <x:c r="D6" t="n">
        <x:f>B6-C6</x:f>
        <x:v>0</x:v>
      </x:c>
      <x:c r="E6" t="str">
        <x:f>IF(D6=0,"OK","检查")</x:f>
        <x:v>OK</x:v>
      </x:c>
      <x:c r="F6" t="str">
        <x:v>原始价格覆盖</x:v>
      </x:c>
    </x:row>
    <x:row r="7">
      <x:c r="A7" t="str">
        <x:v>黄金重复日期</x:v>
      </x:c>
      <x:c r="B7" t="n">
        <x:v>1938</x:v>
      </x:c>
      <x:c r="C7" t="n">
        <x:v>1938</x:v>
      </x:c>
      <x:c r="D7" t="n">
        <x:f>C7-B7</x:f>
        <x:v>0</x:v>
      </x:c>
      <x:c r="E7" t="str">
        <x:f>IF(D7=0,"OK","检查")</x:f>
        <x:v>OK</x:v>
      </x:c>
      <x:c r="F7" t="str">
        <x:v>唯一日期检查</x:v>
      </x:c>
    </x:row>
    <x:row r="8">
      <x:c r="A8" t="str">
        <x:v>总体状态</x:v>
      </x:c>
      <x:c r="B8" t="n">
        <x:f>COUNTIF(E4:E7,"检查")</x:f>
        <x:v>0</x:v>
      </x:c>
      <x:c r="C8" t="n">
        <x:v>0</x:v>
      </x:c>
      <x:c r="D8" t="n">
        <x:f>B8-C8</x:f>
        <x:v>0</x:v>
      </x:c>
      <x:c r="E8" t="str">
        <x:f>IF(D8=0,"OK","检查")</x:f>
        <x:v>OK</x:v>
      </x:c>
      <x:c r="F8" t="str">
        <x:v>全部基础检查汇总</x:v>
      </x:c>
    </x:row>
  </x:sheetData>
  <x:mergeCells>
    <x:mergeCell ref="A1:F1"/>
  </x:mergeCells>
  <x:pageMargins left="0.7" right="0.7" top="0.75" bottom="0.75" header="0.3" footer="0.3"/>
</x:worksheet>
</file>