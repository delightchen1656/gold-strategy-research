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a4fec40df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e744330784014274"/>
    <x:sheet xmlns:r="http://schemas.openxmlformats.org/officeDocument/2006/relationships" name="真实成交规则" sheetId="2" r:id="Ra60b9e5965434639"/>
    <x:sheet xmlns:r="http://schemas.openxmlformats.org/officeDocument/2006/relationships" name="分段回撤" sheetId="3" r:id="R87e6cc3656a4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¥#,##0.00"/>
    <x:numFmt numFmtId="202" formatCode="0.00%;[Red](0.00%)"/>
    <x:numFmt numFmtId="203" formatCode="0.00%"/>
  </x:numFmts>
  <x:fonts count="11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5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 wrapText="1"/>
    </x:xf>
    <x:xf numFmtId="200" fontId="9" fillId="0" borderId="0" xfId="0" applyNumberFormat="1" applyFont="1" applyFill="1" applyBorder="1"/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10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9c139525e414c" /><Relationship Type="http://schemas.openxmlformats.org/officeDocument/2006/relationships/theme" Target="/xl/theme/theme1.xml" Id="Re3490bf8fed94d6c" /><Relationship Type="http://schemas.openxmlformats.org/officeDocument/2006/relationships/sharedStrings" Target="/xl/sharedStrings.xml" Id="Rb2db36ca440b4561" /><Relationship Type="http://schemas.openxmlformats.org/officeDocument/2006/relationships/worksheet" Target="/xl/worksheets/sheet1.xml" Id="Re744330784014274" /><Relationship Type="http://schemas.openxmlformats.org/officeDocument/2006/relationships/worksheet" Target="/xl/worksheets/sheet2.xml" Id="Ra60b9e5965434639" /><Relationship Type="http://schemas.openxmlformats.org/officeDocument/2006/relationships/worksheet" Target="/xl/worksheets/sheet3.xml" Id="R87e6cc3656a449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9.130000114440918" hidden="0" customWidth="1"/>
    <x:col min="4" max="4" width="9.130000114440918" hidden="0" customWidth="1"/>
    <x:col min="5" max="5" width="10.630000114440918" hidden="0" customWidth="1"/>
    <x:col min="6" max="6" width="7.5" hidden="0" customWidth="1"/>
    <x:col min="7" max="7" width="7.25" hidden="0" customWidth="1"/>
    <x:col min="8" max="8" width="27.25" hidden="0" customWidth="1"/>
    <x:col min="9" max="9" width="7.380000114440918" hidden="0" customWidth="1"/>
    <x:col min="10" max="10" width="7.25" hidden="0" customWidth="1"/>
    <x:col min="11" max="11" width="7.25" hidden="0" customWidth="1"/>
    <x:col min="12" max="12" width="7.25" hidden="0" customWidth="1"/>
  </x:cols>
  <x:sheetData>
    <x:row r="1">
      <x:c r="A1" s="21" t="str">
        <x:v>2021年至今：真实产品规则回测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</x:row>
    <x:row r="4">
      <x:c r="A4" s="23" t="str">
        <x:v>策略</x:v>
      </x:c>
      <x:c r="B4" s="23" t="str">
        <x:v>路径</x:v>
      </x:c>
      <x:c r="C4" s="23" t="str">
        <x:v>开始</x:v>
      </x:c>
      <x:c r="D4" s="23" t="str">
        <x:v>结束</x:v>
      </x:c>
      <x:c r="E4" s="23" t="str">
        <x:v>初始资金</x:v>
      </x:c>
      <x:c r="F4" s="23" t="str">
        <x:v>期末资金</x:v>
      </x:c>
      <x:c r="G4" s="23" t="str">
        <x:v>累计收益</x:v>
      </x:c>
      <x:c r="H4" s="23" t="str">
        <x:v>年化收益</x:v>
      </x:c>
      <x:c r="I4" s="23" t="str">
        <x:v>最大回撤</x:v>
      </x:c>
      <x:c r="J4" s="23" t="str">
        <x:v>平均仓位</x:v>
      </x:c>
      <x:c r="K4" s="23" t="str">
        <x:v>调仓日数</x:v>
      </x:c>
      <x:c r="L4" s="23" t="str">
        <x:v>最新仓位</x:v>
      </x:c>
      <x:c r="M4" s="23" t="str">
        <x:v>15%约束</x:v>
      </x:c>
    </x:row>
    <x:row r="5">
      <x:c r="A5" s="22" t="str">
        <x:v>策略1 价格通道突破</x:v>
      </x:c>
      <x:c r="B5" s="22" t="str">
        <x:v>招商银行积存金代理</x:v>
      </x:c>
      <x:c r="C5" s="24" t="n">
        <x:v>44200</x:v>
      </x:c>
      <x:c r="D5" s="24" t="n">
        <x:v>46268</x:v>
      </x:c>
      <x:c r="E5" s="25" t="n">
        <x:v>50000</x:v>
      </x:c>
      <x:c r="F5" s="25" t="n">
        <x:v>83909.65</x:v>
      </x:c>
      <x:c r="G5" s="26" t="n">
        <x:f>F5/E5-1</x:f>
        <x:v>0.6781929999999998</x:v>
      </x:c>
      <x:c r="H5" s="26" t="n">
        <x:v>0.0958</x:v>
      </x:c>
      <x:c r="I5" s="26" t="n">
        <x:v>-0.1317</x:v>
      </x:c>
      <x:c r="J5" s="26" t="n">
        <x:v>0.365</x:v>
      </x:c>
      <x:c r="K5" s="22" t="n">
        <x:v>9</x:v>
      </x:c>
      <x:c r="L5" s="27" t="n">
        <x:v>0.55</x:v>
      </x:c>
      <x:c r="M5" s="22" t="str">
        <x:f>IF(ABS(I5)&lt;=15%,"通过","未通过")</x:f>
        <x:v>通过</x:v>
      </x:c>
    </x:row>
    <x:row r="6">
      <x:c r="A6" s="22" t="str">
        <x:v>策略1 价格通道突破</x:v>
      </x:c>
      <x:c r="B6" s="22" t="str">
        <x:v>建信上海金ETF联接A</x:v>
      </x:c>
      <x:c r="C6" s="24" t="n">
        <x:v>44200</x:v>
      </x:c>
      <x:c r="D6" s="24" t="n">
        <x:v>46269</x:v>
      </x:c>
      <x:c r="E6" s="25" t="n">
        <x:v>50000</x:v>
      </x:c>
      <x:c r="F6" s="25" t="n">
        <x:v>79821.69</x:v>
      </x:c>
      <x:c r="G6" s="26" t="n">
        <x:f>F6/E6-1</x:f>
        <x:v>0.5964338</x:v>
      </x:c>
      <x:c r="H6" s="26" t="n">
        <x:v>0.0861</x:v>
      </x:c>
      <x:c r="I6" s="26" t="n">
        <x:v>-0.13470000000000001</x:v>
      </x:c>
      <x:c r="J6" s="26" t="n">
        <x:v>0.3657</x:v>
      </x:c>
      <x:c r="K6" s="22" t="n">
        <x:v>9</x:v>
      </x:c>
      <x:c r="L6" s="27" t="n">
        <x:v>0.55</x:v>
      </x:c>
      <x:c r="M6" s="22" t="str">
        <x:f>IF(ABS(I6)&lt;=15%,"通过","未通过")</x:f>
        <x:v>通过</x:v>
      </x:c>
    </x:row>
    <x:row r="7">
      <x:c r="A7" s="22" t="str">
        <x:v>策略2 波动率调整动量</x:v>
      </x:c>
      <x:c r="B7" s="22" t="str">
        <x:v>招商银行积存金代理</x:v>
      </x:c>
      <x:c r="C7" s="24" t="n">
        <x:v>44200</x:v>
      </x:c>
      <x:c r="D7" s="24" t="n">
        <x:v>46268</x:v>
      </x:c>
      <x:c r="E7" s="25" t="n">
        <x:v>50000</x:v>
      </x:c>
      <x:c r="F7" s="25" t="n">
        <x:v>74736.54</x:v>
      </x:c>
      <x:c r="G7" s="26" t="n">
        <x:f>F7/E7-1</x:f>
        <x:v>0.4947307999999999</x:v>
      </x:c>
      <x:c r="H7" s="26" t="n">
        <x:v>0.0736</x:v>
      </x:c>
      <x:c r="I7" s="26" t="n">
        <x:v>-0.0928</x:v>
      </x:c>
      <x:c r="J7" s="26" t="n">
        <x:v>0.3766</x:v>
      </x:c>
      <x:c r="K7" s="22" t="n">
        <x:v>34</x:v>
      </x:c>
      <x:c r="L7" s="27" t="n">
        <x:v>0.35</x:v>
      </x:c>
      <x:c r="M7" s="22" t="str">
        <x:f>IF(ABS(I7)&lt;=15%,"通过","未通过")</x:f>
        <x:v>通过</x:v>
      </x:c>
    </x:row>
    <x:row r="8">
      <x:c r="A8" s="22" t="str">
        <x:v>策略2 波动率调整动量</x:v>
      </x:c>
      <x:c r="B8" s="22" t="str">
        <x:v>建信上海金ETF联接A</x:v>
      </x:c>
      <x:c r="C8" s="24" t="n">
        <x:v>44200</x:v>
      </x:c>
      <x:c r="D8" s="24" t="n">
        <x:v>46269</x:v>
      </x:c>
      <x:c r="E8" s="25" t="n">
        <x:v>50000</x:v>
      </x:c>
      <x:c r="F8" s="25" t="n">
        <x:v>74452.24</x:v>
      </x:c>
      <x:c r="G8" s="26" t="n">
        <x:f>F8/E8-1</x:f>
        <x:v>0.48904480000000006</x:v>
      </x:c>
      <x:c r="H8" s="26" t="n">
        <x:v>0.0728</x:v>
      </x:c>
      <x:c r="I8" s="26" t="n">
        <x:v>-0.0909</x:v>
      </x:c>
      <x:c r="J8" s="26" t="n">
        <x:v>0.375</x:v>
      </x:c>
      <x:c r="K8" s="22" t="n">
        <x:v>34</x:v>
      </x:c>
      <x:c r="L8" s="27" t="n">
        <x:v>0.35</x:v>
      </x:c>
      <x:c r="M8" s="22" t="str">
        <x:f>IF(ABS(I8)&lt;=15%,"通过","未通过")</x:f>
        <x:v>通过</x:v>
      </x:c>
    </x:row>
    <x:row r="9">
      <x:c r="A9" s="22" t="str">
        <x:v>策略3 宏观状态</x:v>
      </x:c>
      <x:c r="B9" s="22" t="str">
        <x:v>招商银行积存金代理</x:v>
      </x:c>
      <x:c r="C9" s="24" t="n">
        <x:v>44200</x:v>
      </x:c>
      <x:c r="D9" s="24" t="n">
        <x:v>46268</x:v>
      </x:c>
      <x:c r="E9" s="25" t="n">
        <x:v>50000</x:v>
      </x:c>
      <x:c r="F9" s="25" t="n">
        <x:v>90535.92</x:v>
      </x:c>
      <x:c r="G9" s="26" t="n">
        <x:f>F9/E9-1</x:f>
        <x:v>0.8107184000000001</x:v>
      </x:c>
      <x:c r="H9" s="26" t="n">
        <x:v>0.1106</x:v>
      </x:c>
      <x:c r="I9" s="26" t="n">
        <x:v>-0.1433</x:v>
      </x:c>
      <x:c r="J9" s="26" t="n">
        <x:v>0.41590000000000005</x:v>
      </x:c>
      <x:c r="K9" s="22" t="n">
        <x:v>9</x:v>
      </x:c>
      <x:c r="L9" s="27" t="n">
        <x:v>0.6</x:v>
      </x:c>
      <x:c r="M9" s="22" t="str">
        <x:f>IF(ABS(I9)&lt;=15%,"通过","未通过")</x:f>
        <x:v>通过</x:v>
      </x:c>
    </x:row>
    <x:row r="10">
      <x:c r="A10" s="22" t="str">
        <x:v>策略3 宏观状态</x:v>
      </x:c>
      <x:c r="B10" s="22" t="str">
        <x:v>建信上海金ETF联接A</x:v>
      </x:c>
      <x:c r="C10" s="24" t="n">
        <x:v>44200</x:v>
      </x:c>
      <x:c r="D10" s="24" t="n">
        <x:v>46269</x:v>
      </x:c>
      <x:c r="E10" s="25" t="n">
        <x:v>50000</x:v>
      </x:c>
      <x:c r="F10" s="25" t="n">
        <x:v>87068.95</x:v>
      </x:c>
      <x:c r="G10" s="26" t="n">
        <x:f>F10/E10-1</x:f>
        <x:v>0.741379</x:v>
      </x:c>
      <x:c r="H10" s="26" t="n">
        <x:v>0.10289999999999999</x:v>
      </x:c>
      <x:c r="I10" s="26" t="n">
        <x:v>-0.1466</x:v>
      </x:c>
      <x:c r="J10" s="26" t="n">
        <x:v>0.4164</x:v>
      </x:c>
      <x:c r="K10" s="22" t="n">
        <x:v>9</x:v>
      </x:c>
      <x:c r="L10" s="27" t="n">
        <x:v>0.6</x:v>
      </x:c>
      <x:c r="M10" s="22" t="str">
        <x:f>IF(ABS(I10)&lt;=15%,"通过","未通过")</x:f>
        <x:v>通过</x:v>
      </x:c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</x:row>
    <x:row r="12">
      <x:c r="A12" s="28" t="str">
        <x:v>两路径各投入5万元的综合结果</x:v>
      </x:c>
      <x:c r="B12" s="28"/>
      <x:c r="C12" s="28"/>
      <x:c r="D12" s="28"/>
      <x:c r="E12" s="28"/>
      <x:c r="F12" s="28"/>
      <x:c r="G12" s="28"/>
      <x:c r="H12" s="28"/>
      <x:c r="I12" s="22"/>
      <x:c r="J12" s="22"/>
      <x:c r="K12" s="22"/>
      <x:c r="L12" s="22"/>
      <x:c r="M12" s="22"/>
    </x:row>
    <x:row r="13">
      <x:c r="A13" s="23" t="str">
        <x:v>策略</x:v>
      </x:c>
      <x:c r="B13" s="23" t="str">
        <x:v>初始资金</x:v>
      </x:c>
      <x:c r="C13" s="23" t="str">
        <x:v>期末资金</x:v>
      </x:c>
      <x:c r="D13" s="23" t="str">
        <x:v>综合收益</x:v>
      </x:c>
      <x:c r="E13" s="23" t="str">
        <x:v>综合年化收益</x:v>
      </x:c>
      <x:c r="F13" s="23" t="str">
        <x:v>平均仓位</x:v>
      </x:c>
      <x:c r="G13" s="23" t="str">
        <x:v>最新仓位</x:v>
      </x:c>
      <x:c r="H13" s="23" t="str">
        <x:v>计算口径</x:v>
      </x:c>
      <x:c r="I13" s="22"/>
      <x:c r="J13" s="22"/>
      <x:c r="K13" s="22"/>
      <x:c r="L13" s="22"/>
      <x:c r="M13" s="22"/>
    </x:row>
    <x:row r="14">
      <x:c r="A14" s="22" t="str">
        <x:v>策略1 价格通道突破</x:v>
      </x:c>
      <x:c r="B14" s="25" t="n">
        <x:v>100000</x:v>
      </x:c>
      <x:c r="C14" s="25" t="n">
        <x:v>163731.34</x:v>
      </x:c>
      <x:c r="D14" s="27" t="n">
        <x:v>0.6373</x:v>
      </x:c>
      <x:c r="E14" s="27" t="n">
        <x:v>0.091</x:v>
      </x:c>
      <x:c r="F14" s="27" t="n">
        <x:v>0.3653</x:v>
      </x:c>
      <x:c r="G14" s="27" t="n">
        <x:v>0.55</x:v>
      </x:c>
      <x:c r="H14" s="22" t="str">
        <x:v>两路径各50%，合并期末净值后年化</x:v>
      </x:c>
      <x:c r="I14" s="22"/>
      <x:c r="J14" s="22"/>
      <x:c r="K14" s="22"/>
      <x:c r="L14" s="22"/>
      <x:c r="M14" s="22"/>
    </x:row>
    <x:row r="15">
      <x:c r="A15" s="22" t="str">
        <x:v>策略2 波动率调整动量</x:v>
      </x:c>
      <x:c r="B15" s="25" t="n">
        <x:v>100000</x:v>
      </x:c>
      <x:c r="C15" s="25" t="n">
        <x:v>149188.78</x:v>
      </x:c>
      <x:c r="D15" s="27" t="n">
        <x:v>0.4919</x:v>
      </x:c>
      <x:c r="E15" s="27" t="n">
        <x:v>0.0732</x:v>
      </x:c>
      <x:c r="F15" s="27" t="n">
        <x:v>0.37579999999999997</x:v>
      </x:c>
      <x:c r="G15" s="27" t="n">
        <x:v>0.35</x:v>
      </x:c>
      <x:c r="H15" s="22" t="str">
        <x:v>两路径各50%，合并期末净值后年化</x:v>
      </x:c>
      <x:c r="I15" s="22"/>
      <x:c r="J15" s="22"/>
      <x:c r="K15" s="22"/>
      <x:c r="L15" s="22"/>
      <x:c r="M15" s="22"/>
    </x:row>
    <x:row r="16">
      <x:c r="A16" s="22" t="str">
        <x:v>策略3 宏观状态</x:v>
      </x:c>
      <x:c r="B16" s="25" t="n">
        <x:v>100000</x:v>
      </x:c>
      <x:c r="C16" s="25" t="n">
        <x:v>177604.87</x:v>
      </x:c>
      <x:c r="D16" s="27" t="n">
        <x:v>0.7759999999999999</x:v>
      </x:c>
      <x:c r="E16" s="27" t="n">
        <x:v>0.10679999999999999</x:v>
      </x:c>
      <x:c r="F16" s="27" t="n">
        <x:v>0.41619999999999996</x:v>
      </x:c>
      <x:c r="G16" s="27" t="n">
        <x:v>0.6</x:v>
      </x:c>
      <x:c r="H16" s="22" t="str">
        <x:v>两路径各50%，合并期末净值后年化</x:v>
      </x:c>
      <x:c r="I16" s="22"/>
      <x:c r="J16" s="22"/>
      <x:c r="K16" s="22"/>
      <x:c r="L16" s="22"/>
      <x:c r="M16" s="22"/>
    </x:row>
  </x:sheetData>
  <x:mergeCells>
    <x:mergeCell ref="A1:M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8" hidden="0" customWidth="1"/>
    <x:col min="3" max="3" width="48" hidden="0" customWidth="1"/>
    <x:col min="4" max="4" width="55" hidden="0" customWidth="1"/>
  </x:cols>
  <x:sheetData>
    <x:row r="1">
      <x:c r="A1" s="21" t="str">
        <x:v>成交时点与费用规则</x:v>
      </x:c>
      <x:c r="B1" s="21"/>
      <x:c r="C1" s="21"/>
      <x:c r="D1" s="21"/>
    </x:row>
    <x:row r="2">
      <x:c r="A2" s="21"/>
      <x:c r="B2" s="21"/>
      <x:c r="C2" s="21"/>
      <x:c r="D2" s="21"/>
    </x:row>
    <x:row r="3">
      <x:c r="A3" s="22"/>
      <x:c r="B3" s="22"/>
      <x:c r="C3" s="22"/>
      <x:c r="D3" s="22"/>
    </x:row>
    <x:row r="4">
      <x:c r="A4" s="23" t="str">
        <x:v>项目</x:v>
      </x:c>
      <x:c r="B4" s="23" t="str">
        <x:v>真实规则处理</x:v>
      </x:c>
      <x:c r="C4" s="23" t="str">
        <x:v>本次实现</x:v>
      </x:c>
      <x:c r="D4" s="23" t="str">
        <x:v>来源/限制</x:v>
      </x:c>
    </x:row>
    <x:row r="5" ht="54" customHeight="1">
      <x:c r="A5" s="30" t="str">
        <x:v>信号时点</x:v>
      </x:c>
      <x:c r="B5" s="30" t="str">
        <x:v>LBMA Gold Price AM在伦敦10:30形成</x:v>
      </x:c>
      <x:c r="C5" s="30" t="str">
        <x:v>信号日之后第一个产品交易日执行，不使用同日收盘信息</x:v>
      </x:c>
      <x:c r="D5" s="30" t="str">
        <x:v>https://www.lbma.org.uk/prices-and-data/about-lbma-daily-auction-prices</x:v>
      </x:c>
    </x:row>
    <x:row r="6" ht="54" customHeight="1">
      <x:c r="A6" s="30" t="str">
        <x:v>建信A申购</x:v>
      </x:c>
      <x:c r="B6" s="30" t="str">
        <x:v>15:00前有效申请按申请日净值；份额随后确认</x:v>
      </x:c>
      <x:c r="C6" s="30" t="str">
        <x:v>映射到信号日之后首个基金净值日；确认日不改变成交净值日</x:v>
      </x:c>
      <x:c r="D6" s="30" t="str">
        <x:v>009033基金招募说明书及用户实际确认记录</x:v>
      </x:c>
    </x:row>
    <x:row r="7" ht="54" customHeight="1">
      <x:c r="A7" s="30" t="str">
        <x:v>建信A申购费</x:v>
      </x:c>
      <x:c r="B7" s="30" t="str">
        <x:v>100万元以下标准费率1.50%</x:v>
      </x:c>
      <x:c r="C7" s="30" t="str">
        <x:v>净申购额=申购额/(1+1.5%)，实际资金损耗1-1/1.015</x:v>
      </x:c>
      <x:c r="D7" s="30" t="str">
        <x:v>基金标准费率</x:v>
      </x:c>
    </x:row>
    <x:row r="8" ht="54" customHeight="1">
      <x:c r="A8" s="30" t="str">
        <x:v>建信A赎回</x:v>
      </x:c>
      <x:c r="B8" s="30" t="str">
        <x:v>允许任意开放日赎回</x:v>
      </x:c>
      <x:c r="C8" s="30" t="str">
        <x:v>取消30日锁仓；FIFO逐批计算自然持有日</x:v>
      </x:c>
      <x:c r="D8" s="30" t="str">
        <x:v>基金标准规则</x:v>
      </x:c>
    </x:row>
    <x:row r="9" ht="54" customHeight="1">
      <x:c r="A9" s="30" t="str">
        <x:v>建信A赎回费</x:v>
      </x:c>
      <x:c r="B9" s="30" t="str">
        <x:v>&lt;7日1.50%；7至&lt;30日0.50%；≥30日0%</x:v>
      </x:c>
      <x:c r="C9" s="30" t="str">
        <x:v>逐笔从账户净值扣除</x:v>
      </x:c>
      <x:c r="D9" s="30" t="str">
        <x:v>基金标准费率</x:v>
      </x:c>
    </x:row>
    <x:row r="10" ht="54" customHeight="1">
      <x:c r="A10" s="30" t="str">
        <x:v>招行积存金</x:v>
      </x:c>
      <x:c r="B10" s="30" t="str">
        <x:v>按银行实时双边报价成交</x:v>
      </x:c>
      <x:c r="C10" s="30" t="str">
        <x:v>中间价代理±2.5元/克，即完整买卖价差5元/克；历史真实客户报价不可得</x:v>
      </x:c>
      <x:c r="D10" s="30" t="str">
        <x:v>仍是价格代理，不是真实成交复盘</x:v>
      </x:c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7.25" hidden="0" customWidth="1"/>
    <x:col min="5" max="5" width="7.380000114440918" hidden="0" customWidth="1"/>
    <x:col min="6" max="6" width="7.25" hidden="0" customWidth="1"/>
    <x:col min="7" max="7" width="3.880000114440918" hidden="0" customWidth="1"/>
    <x:col min="8" max="8" width="3.880000114440918" hidden="0" customWidth="1"/>
  </x:cols>
  <x:sheetData>
    <x:row r="1">
      <x:c r="A1" s="21" t="str">
        <x:v>两路径×三阶段回撤检查</x:v>
      </x:c>
      <x:c r="B1" s="21"/>
      <x:c r="C1" s="21"/>
      <x:c r="D1" s="21"/>
      <x:c r="E1" s="21"/>
      <x:c r="F1" s="21"/>
      <x:c r="G1" s="21"/>
      <x:c r="H1" s="21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3" t="str">
        <x:v>策略</x:v>
      </x:c>
      <x:c r="B4" s="23" t="str">
        <x:v>路径</x:v>
      </x:c>
      <x:c r="C4" s="23" t="str">
        <x:v>阶段</x:v>
      </x:c>
      <x:c r="D4" s="23" t="str">
        <x:v>阶段收益</x:v>
      </x:c>
      <x:c r="E4" s="23" t="str">
        <x:v>最大回撤</x:v>
      </x:c>
      <x:c r="F4" s="23" t="str">
        <x:v>安全余量</x:v>
      </x:c>
      <x:c r="G4" s="23" t="str">
        <x:v>约束</x:v>
      </x:c>
      <x:c r="H4" s="23" t="str">
        <x:v>备注</x:v>
      </x:c>
    </x:row>
    <x:row r="5">
      <x:c r="A5" s="22" t="str">
        <x:v>策略1 价格通道突破</x:v>
      </x:c>
      <x:c r="B5" s="22" t="str">
        <x:v>招商银行积存金代理</x:v>
      </x:c>
      <x:c r="C5" s="22" t="str">
        <x:v>训练期 2021-2023</x:v>
      </x:c>
      <x:c r="D5" s="26" t="n">
        <x:v>0.0582</x:v>
      </x:c>
      <x:c r="E5" s="26" t="n">
        <x:v>-0.047</x:v>
      </x:c>
      <x:c r="F5" s="26" t="n">
        <x:f>15%-ABS(E5)</x:f>
        <x:v>0.103</x:v>
      </x:c>
      <x:c r="G5" s="22" t="str">
        <x:f>IF(ABS(E5)&lt;=15%,"通过","未通过")</x:f>
        <x:v>通过</x:v>
      </x:c>
      <x:c r="H5" s="22" t="str"/>
    </x:row>
    <x:row r="6">
      <x:c r="A6" s="22" t="str">
        <x:v>策略1 价格通道突破</x:v>
      </x:c>
      <x:c r="B6" s="22" t="str">
        <x:v>招商银行积存金代理</x:v>
      </x:c>
      <x:c r="C6" s="22" t="str">
        <x:v>验证期 2024</x:v>
      </x:c>
      <x:c r="D6" s="26" t="n">
        <x:v>0.16510000000000002</x:v>
      </x:c>
      <x:c r="E6" s="26" t="n">
        <x:v>-0.1041</x:v>
      </x:c>
      <x:c r="F6" s="26" t="n">
        <x:f>15%-ABS(E6)</x:f>
        <x:v>0.045899999999999996</x:v>
      </x:c>
      <x:c r="G6" s="22" t="str">
        <x:f>IF(ABS(E6)&lt;=15%,"通过","未通过")</x:f>
        <x:v>通过</x:v>
      </x:c>
      <x:c r="H6" s="22" t="str"/>
    </x:row>
    <x:row r="7">
      <x:c r="A7" s="22" t="str">
        <x:v>策略1 价格通道突破</x:v>
      </x:c>
      <x:c r="B7" s="22" t="str">
        <x:v>招商银行积存金代理</x:v>
      </x:c>
      <x:c r="C7" s="22" t="str">
        <x:v>盲测期 2025-2026</x:v>
      </x:c>
      <x:c r="D7" s="26" t="n">
        <x:v>0.35119999999999996</x:v>
      </x:c>
      <x:c r="E7" s="26" t="n">
        <x:v>-0.1317</x:v>
      </x:c>
      <x:c r="F7" s="26" t="n">
        <x:f>15%-ABS(E7)</x:f>
        <x:v>0.018299999999999983</x:v>
      </x:c>
      <x:c r="G7" s="22" t="str">
        <x:f>IF(ABS(E7)&lt;=15%,"通过","未通过")</x:f>
        <x:v>通过</x:v>
      </x:c>
      <x:c r="H7" s="22" t="str"/>
    </x:row>
    <x:row r="8">
      <x:c r="A8" s="22" t="str">
        <x:v>策略1 价格通道突破</x:v>
      </x:c>
      <x:c r="B8" s="22" t="str">
        <x:v>建信上海金ETF联接A</x:v>
      </x:c>
      <x:c r="C8" s="22" t="str">
        <x:v>训练期 2021-2023</x:v>
      </x:c>
      <x:c r="D8" s="26" t="n">
        <x:v>0.04190000000000001</x:v>
      </x:c>
      <x:c r="E8" s="26" t="n">
        <x:v>-0.0484</x:v>
      </x:c>
      <x:c r="F8" s="26" t="n">
        <x:f>15%-ABS(E8)</x:f>
        <x:v>0.1016</x:v>
      </x:c>
      <x:c r="G8" s="22" t="str">
        <x:f>IF(ABS(E8)&lt;=15%,"通过","未通过")</x:f>
        <x:v>通过</x:v>
      </x:c>
      <x:c r="H8" s="22" t="str"/>
    </x:row>
    <x:row r="9">
      <x:c r="A9" s="22" t="str">
        <x:v>策略1 价格通道突破</x:v>
      </x:c>
      <x:c r="B9" s="22" t="str">
        <x:v>建信上海金ETF联接A</x:v>
      </x:c>
      <x:c r="C9" s="22" t="str">
        <x:v>验证期 2024</x:v>
      </x:c>
      <x:c r="D9" s="26" t="n">
        <x:v>0.1407</x:v>
      </x:c>
      <x:c r="E9" s="26" t="n">
        <x:v>-0.0379</x:v>
      </x:c>
      <x:c r="F9" s="26" t="n">
        <x:f>15%-ABS(E9)</x:f>
        <x:v>0.11209999999999999</x:v>
      </x:c>
      <x:c r="G9" s="22" t="str">
        <x:f>IF(ABS(E9)&lt;=15%,"通过","未通过")</x:f>
        <x:v>通过</x:v>
      </x:c>
      <x:c r="H9" s="22" t="str"/>
    </x:row>
    <x:row r="10">
      <x:c r="A10" s="22" t="str">
        <x:v>策略1 价格通道突破</x:v>
      </x:c>
      <x:c r="B10" s="22" t="str">
        <x:v>建信上海金ETF联接A</x:v>
      </x:c>
      <x:c r="C10" s="22" t="str">
        <x:v>盲测期 2025-2026</x:v>
      </x:c>
      <x:c r="D10" s="26" t="n">
        <x:v>0.3345</x:v>
      </x:c>
      <x:c r="E10" s="26" t="n">
        <x:v>-0.13470000000000001</x:v>
      </x:c>
      <x:c r="F10" s="26" t="n">
        <x:f>15%-ABS(E10)</x:f>
        <x:v>0.01529999999999998</x:v>
      </x:c>
      <x:c r="G10" s="22" t="str">
        <x:f>IF(ABS(E10)&lt;=15%,"通过","未通过")</x:f>
        <x:v>通过</x:v>
      </x:c>
      <x:c r="H10" s="22" t="str"/>
    </x:row>
    <x:row r="11">
      <x:c r="A11" s="22" t="str">
        <x:v>策略2 波动率调整动量</x:v>
      </x:c>
      <x:c r="B11" s="22" t="str">
        <x:v>招商银行积存金代理</x:v>
      </x:c>
      <x:c r="C11" s="22" t="str">
        <x:v>训练期 2021-2023</x:v>
      </x:c>
      <x:c r="D11" s="26" t="n">
        <x:v>-0.0195</x:v>
      </x:c>
      <x:c r="E11" s="26" t="n">
        <x:v>-0.08439999999999999</x:v>
      </x:c>
      <x:c r="F11" s="26" t="n">
        <x:f>15%-ABS(E11)</x:f>
        <x:v>0.0656</x:v>
      </x:c>
      <x:c r="G11" s="22" t="str">
        <x:f>IF(ABS(E11)&lt;=15%,"通过","未通过")</x:f>
        <x:v>通过</x:v>
      </x:c>
      <x:c r="H11" s="22" t="str"/>
    </x:row>
    <x:row r="12">
      <x:c r="A12" s="22" t="str">
        <x:v>策略2 波动率调整动量</x:v>
      </x:c>
      <x:c r="B12" s="22" t="str">
        <x:v>招商银行积存金代理</x:v>
      </x:c>
      <x:c r="C12" s="22" t="str">
        <x:v>验证期 2024</x:v>
      </x:c>
      <x:c r="D12" s="26" t="n">
        <x:v>0.1441</x:v>
      </x:c>
      <x:c r="E12" s="26" t="n">
        <x:v>-0.0928</x:v>
      </x:c>
      <x:c r="F12" s="26" t="n">
        <x:f>15%-ABS(E12)</x:f>
        <x:v>0.0572</x:v>
      </x:c>
      <x:c r="G12" s="22" t="str">
        <x:f>IF(ABS(E12)&lt;=15%,"通过","未通过")</x:f>
        <x:v>通过</x:v>
      </x:c>
      <x:c r="H12" s="22" t="str"/>
    </x:row>
    <x:row r="13">
      <x:c r="A13" s="22" t="str">
        <x:v>策略2 波动率调整动量</x:v>
      </x:c>
      <x:c r="B13" s="22" t="str">
        <x:v>招商银行积存金代理</x:v>
      </x:c>
      <x:c r="C13" s="22" t="str">
        <x:v>盲测期 2025-2026</x:v>
      </x:c>
      <x:c r="D13" s="26" t="n">
        <x:v>0.3225</x:v>
      </x:c>
      <x:c r="E13" s="26" t="n">
        <x:v>-0.086</x:v>
      </x:c>
      <x:c r="F13" s="26" t="n">
        <x:f>15%-ABS(E13)</x:f>
        <x:v>0.064</x:v>
      </x:c>
      <x:c r="G13" s="22" t="str">
        <x:f>IF(ABS(E13)&lt;=15%,"通过","未通过")</x:f>
        <x:v>通过</x:v>
      </x:c>
      <x:c r="H13" s="22" t="str"/>
    </x:row>
    <x:row r="14">
      <x:c r="A14" s="22" t="str">
        <x:v>策略2 波动率调整动量</x:v>
      </x:c>
      <x:c r="B14" s="22" t="str">
        <x:v>建信上海金ETF联接A</x:v>
      </x:c>
      <x:c r="C14" s="22" t="str">
        <x:v>训练期 2021-2023</x:v>
      </x:c>
      <x:c r="D14" s="26" t="n">
        <x:v>-0.006500000000000001</x:v>
      </x:c>
      <x:c r="E14" s="26" t="n">
        <x:v>-0.0692</x:v>
      </x:c>
      <x:c r="F14" s="26" t="n">
        <x:f>15%-ABS(E14)</x:f>
        <x:v>0.0808</x:v>
      </x:c>
      <x:c r="G14" s="22" t="str">
        <x:f>IF(ABS(E14)&lt;=15%,"通过","未通过")</x:f>
        <x:v>通过</x:v>
      </x:c>
      <x:c r="H14" s="22" t="str"/>
    </x:row>
    <x:row r="15">
      <x:c r="A15" s="22" t="str">
        <x:v>策略2 波动率调整动量</x:v>
      </x:c>
      <x:c r="B15" s="22" t="str">
        <x:v>建信上海金ETF联接A</x:v>
      </x:c>
      <x:c r="C15" s="22" t="str">
        <x:v>验证期 2024</x:v>
      </x:c>
      <x:c r="D15" s="26" t="n">
        <x:v>0.1273</x:v>
      </x:c>
      <x:c r="E15" s="26" t="n">
        <x:v>-0.041299999999999996</x:v>
      </x:c>
      <x:c r="F15" s="26" t="n">
        <x:f>15%-ABS(E15)</x:f>
        <x:v>0.10869999999999999</x:v>
      </x:c>
      <x:c r="G15" s="22" t="str">
        <x:f>IF(ABS(E15)&lt;=15%,"通过","未通过")</x:f>
        <x:v>通过</x:v>
      </x:c>
      <x:c r="H15" s="22" t="str"/>
    </x:row>
    <x:row r="16">
      <x:c r="A16" s="22" t="str">
        <x:v>策略2 波动率调整动量</x:v>
      </x:c>
      <x:c r="B16" s="22" t="str">
        <x:v>建信上海金ETF联接A</x:v>
      </x:c>
      <x:c r="C16" s="22" t="str">
        <x:v>盲测期 2025-2026</x:v>
      </x:c>
      <x:c r="D16" s="26" t="n">
        <x:v>0.3208</x:v>
      </x:c>
      <x:c r="E16" s="26" t="n">
        <x:v>-0.0909</x:v>
      </x:c>
      <x:c r="F16" s="26" t="n">
        <x:f>15%-ABS(E16)</x:f>
        <x:v>0.0591</x:v>
      </x:c>
      <x:c r="G16" s="22" t="str">
        <x:f>IF(ABS(E16)&lt;=15%,"通过","未通过")</x:f>
        <x:v>通过</x:v>
      </x:c>
      <x:c r="H16" s="22" t="str"/>
    </x:row>
    <x:row r="17">
      <x:c r="A17" s="22" t="str">
        <x:v>策略3 宏观状态</x:v>
      </x:c>
      <x:c r="B17" s="22" t="str">
        <x:v>招商银行积存金代理</x:v>
      </x:c>
      <x:c r="C17" s="22" t="str">
        <x:v>训练期 2021-2023</x:v>
      </x:c>
      <x:c r="D17" s="26" t="n">
        <x:v>0.0974</x:v>
      </x:c>
      <x:c r="E17" s="26" t="n">
        <x:v>-0.0512</x:v>
      </x:c>
      <x:c r="F17" s="26" t="n">
        <x:f>15%-ABS(E17)</x:f>
        <x:v>0.0988</x:v>
      </x:c>
      <x:c r="G17" s="22" t="str">
        <x:f>IF(ABS(E17)&lt;=15%,"通过","未通过")</x:f>
        <x:v>通过</x:v>
      </x:c>
      <x:c r="H17" s="22" t="str"/>
    </x:row>
    <x:row r="18">
      <x:c r="A18" s="22" t="str">
        <x:v>策略3 宏观状态</x:v>
      </x:c>
      <x:c r="B18" s="22" t="str">
        <x:v>招商银行积存金代理</x:v>
      </x:c>
      <x:c r="C18" s="22" t="str">
        <x:v>验证期 2024</x:v>
      </x:c>
      <x:c r="D18" s="26" t="n">
        <x:v>0.1801</x:v>
      </x:c>
      <x:c r="E18" s="26" t="n">
        <x:v>-0.1133</x:v>
      </x:c>
      <x:c r="F18" s="26" t="n">
        <x:f>15%-ABS(E18)</x:f>
        <x:v>0.036699999999999997</x:v>
      </x:c>
      <x:c r="G18" s="22" t="str">
        <x:f>IF(ABS(E18)&lt;=15%,"通过","未通过")</x:f>
        <x:v>通过</x:v>
      </x:c>
      <x:c r="H18" s="22" t="str"/>
    </x:row>
    <x:row r="19">
      <x:c r="A19" s="22" t="str">
        <x:v>策略3 宏观状态</x:v>
      </x:c>
      <x:c r="B19" s="22" t="str">
        <x:v>招商银行积存金代理</x:v>
      </x:c>
      <x:c r="C19" s="22" t="str">
        <x:v>盲测期 2025-2026</x:v>
      </x:c>
      <x:c r="D19" s="26" t="n">
        <x:v>0.387</x:v>
      </x:c>
      <x:c r="E19" s="26" t="n">
        <x:v>-0.1433</x:v>
      </x:c>
      <x:c r="F19" s="26" t="n">
        <x:f>15%-ABS(E19)</x:f>
        <x:v>0.006699999999999984</x:v>
      </x:c>
      <x:c r="G19" s="22" t="str">
        <x:f>IF(ABS(E19)&lt;=15%,"通过","未通过")</x:f>
        <x:v>通过</x:v>
      </x:c>
      <x:c r="H19" s="22" t="str"/>
    </x:row>
    <x:row r="20">
      <x:c r="A20" s="22" t="str">
        <x:v>策略3 宏观状态</x:v>
      </x:c>
      <x:c r="B20" s="22" t="str">
        <x:v>建信上海金ETF联接A</x:v>
      </x:c>
      <x:c r="C20" s="22" t="str">
        <x:v>训练期 2021-2023</x:v>
      </x:c>
      <x:c r="D20" s="26" t="n">
        <x:v>0.0951</x:v>
      </x:c>
      <x:c r="E20" s="26" t="n">
        <x:v>-0.0528</x:v>
      </x:c>
      <x:c r="F20" s="26" t="n">
        <x:f>15%-ABS(E20)</x:f>
        <x:v>0.0972</x:v>
      </x:c>
      <x:c r="G20" s="22" t="str">
        <x:f>IF(ABS(E20)&lt;=15%,"通过","未通过")</x:f>
        <x:v>通过</x:v>
      </x:c>
      <x:c r="H20" s="22" t="str"/>
    </x:row>
    <x:row r="21">
      <x:c r="A21" s="22" t="str">
        <x:v>策略3 宏观状态</x:v>
      </x:c>
      <x:c r="B21" s="22" t="str">
        <x:v>建信上海金ETF联接A</x:v>
      </x:c>
      <x:c r="C21" s="22" t="str">
        <x:v>验证期 2024</x:v>
      </x:c>
      <x:c r="D21" s="26" t="n">
        <x:v>0.1542</x:v>
      </x:c>
      <x:c r="E21" s="26" t="n">
        <x:v>-0.041299999999999996</x:v>
      </x:c>
      <x:c r="F21" s="26" t="n">
        <x:f>15%-ABS(E21)</x:f>
        <x:v>0.10869999999999999</x:v>
      </x:c>
      <x:c r="G21" s="22" t="str">
        <x:f>IF(ABS(E21)&lt;=15%,"通过","未通过")</x:f>
        <x:v>通过</x:v>
      </x:c>
      <x:c r="H21" s="22" t="str"/>
    </x:row>
    <x:row r="22">
      <x:c r="A22" s="22" t="str">
        <x:v>策略3 宏观状态</x:v>
      </x:c>
      <x:c r="B22" s="22" t="str">
        <x:v>建信上海金ETF联接A</x:v>
      </x:c>
      <x:c r="C22" s="22" t="str">
        <x:v>盲测期 2025-2026</x:v>
      </x:c>
      <x:c r="D22" s="26" t="n">
        <x:v>0.36810000000000004</x:v>
      </x:c>
      <x:c r="E22" s="26" t="n">
        <x:v>-0.1466</x:v>
      </x:c>
      <x:c r="F22" s="26" t="n">
        <x:f>15%-ABS(E22)</x:f>
        <x:v>0.0033999999999999864</x:v>
      </x:c>
      <x:c r="G22" s="22" t="str">
        <x:f>IF(ABS(E22)&lt;=15%,"通过","未通过")</x:f>
        <x:v>通过</x:v>
      </x:c>
      <x:c r="H22" s="22" t="str"/>
    </x:row>
  </x:sheetData>
  <x:mergeCells>
    <x:mergeCell ref="A1:H2"/>
  </x:mergeCells>
  <x:pageMargins left="0.7" right="0.7" top="0.75" bottom="0.75" header="0.3" footer="0.3"/>
</x:worksheet>
</file>