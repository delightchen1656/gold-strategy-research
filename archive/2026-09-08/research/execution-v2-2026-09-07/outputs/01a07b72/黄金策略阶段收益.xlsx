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08566f37b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与比较" sheetId="1" r:id="R9f5c089053054597"/>
    <x:sheet xmlns:r="http://schemas.openxmlformats.org/officeDocument/2006/relationships" name="交易记录" sheetId="2" r:id="Rf10988ac4709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;(#,##0.00);&quot;—&quot;"/>
    <x:numFmt numFmtId="201" formatCode="0.00%;(0.00%);&quot;—&quot;"/>
    <x:numFmt numFmtId="202" formatCode="0"/>
    <x:numFmt numFmtId="203" formatCode="yyyy-mm-dd"/>
    <x:numFmt numFmtId="204" formatCode="#,##0.0000"/>
    <x:numFmt numFmtId="205" formatCode="0%"/>
  </x:numFmts>
  <x:fonts count="5">
    <x:font>
      <x:sz val="11"/>
      <x:name val="Carlito"/>
    </x:font>
    <x:font>
      <x:sz val="11"/>
      <x:color rgb="FF1F2937"/>
      <x:name val="Arial"/>
    </x:font>
    <x:font>
      <x:b/>
      <x:sz val="16"/>
      <x:color rgb="FF1F2937"/>
      <x:name val="Arial"/>
    </x:font>
    <x:font>
      <x:b/>
      <x:sz val="11"/>
      <x:color rgb="FFFFFFFF"/>
      <x:name val="Arial"/>
    </x:font>
    <x:font>
      <x:b/>
      <x:sz val="14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05429"/>
      </x:patternFill>
    </x:fill>
    <x:fill>
      <x:patternFill patternType="solid">
        <x:fgColor rgb="FFF4EFE6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3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3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1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0" fontId="3" fillId="2" borderId="0" xfId="0" applyNumberFormat="1" applyFont="1" applyFill="1" applyBorder="1" applyAlignment="1">
      <x:alignment horizontal="right" vertical="center"/>
    </x:xf>
    <x:xf numFmtId="201" fontId="3" fillId="2" borderId="0" xfId="0" applyNumberFormat="1" applyFont="1" applyFill="1" applyBorder="1" applyAlignment="1">
      <x:alignment horizontal="right" vertical="center"/>
    </x:xf>
    <x:xf numFmtId="202" fontId="3" fillId="2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203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horizontal="center"/>
    </x:xf>
    <x:xf numFmtId="204" fontId="1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9f34ed983f44e2" /><Relationship Type="http://schemas.openxmlformats.org/officeDocument/2006/relationships/theme" Target="/xl/theme/theme1.xml" Id="Rd3324987670c4845" /><Relationship Type="http://schemas.openxmlformats.org/officeDocument/2006/relationships/sharedStrings" Target="/xl/sharedStrings.xml" Id="R546f3ff6c8ef426e" /><Relationship Type="http://schemas.openxmlformats.org/officeDocument/2006/relationships/worksheet" Target="/xl/worksheets/sheet1.xml" Id="R9f5c089053054597" /><Relationship Type="http://schemas.openxmlformats.org/officeDocument/2006/relationships/worksheet" Target="/xl/worksheets/sheet2.xml" Id="Rf10988ac470942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0542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3" hidden="0" customWidth="1"/>
    <x:col min="10" max="10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黄金策略研究：阶段收益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 t="str">
        <x:v>趋势＋波动率控仓＋回撤退出；2021-01-04至2026-09-04；每个产品初始5万元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6" t="str">
        <x:v>产品</x:v>
      </x:c>
      <x:c r="B5" s="6" t="str">
        <x:v>阶段</x:v>
      </x:c>
      <x:c r="C5" s="6" t="str">
        <x:v>期初资产（元）</x:v>
      </x:c>
      <x:c r="D5" s="6" t="str">
        <x:v>期末资产（元）</x:v>
      </x:c>
      <x:c r="E5" s="6" t="str">
        <x:v>累计收益</x:v>
      </x:c>
      <x:c r="F5" s="6" t="str">
        <x:v>年化收益</x:v>
      </x:c>
      <x:c r="G5" s="6" t="str">
        <x:v>最大回撤</x:v>
      </x:c>
      <x:c r="H5" s="6" t="str">
        <x:v>平均仓位</x:v>
      </x:c>
      <x:c r="I5" s="6" t="str">
        <x:v>买卖次数</x:v>
      </x:c>
      <x:c r="J5" s="6" t="str">
        <x:v>费用（元）</x:v>
      </x:c>
    </x:row>
    <x:row r="6" ht="24" customHeight="1">
      <x:c r="A6" s="1" t="str">
        <x:v>积存金代理</x:v>
      </x:c>
      <x:c r="B6" s="1" t="str">
        <x:v>2021—2023</x:v>
      </x:c>
      <x:c r="C6" s="17" t="n">
        <x:v>50000</x:v>
      </x:c>
      <x:c r="D6" s="17" t="n">
        <x:v>52423.7113442646</x:v>
      </x:c>
      <x:c r="E6" s="18" t="n">
        <x:f>D6/C6-1</x:f>
        <x:v>0.048474226885292016</x:v>
      </x:c>
      <x:c r="F6" s="18" t="n">
        <x:v>0.015973595947753383</x:v>
      </x:c>
      <x:c r="G6" s="18" t="n">
        <x:v>0.07089250920336643</x:v>
      </x:c>
      <x:c r="H6" s="18" t="n">
        <x:v>0.37482257115671025</x:v>
      </x:c>
      <x:c r="I6" s="19" t="n">
        <x:v>18</x:v>
      </x:c>
      <x:c r="J6" s="17" t="n">
        <x:v>2016.7422499999998</x:v>
      </x:c>
    </x:row>
    <x:row r="7" ht="24" customHeight="1">
      <x:c r="A7" s="1" t="str">
        <x:v>积存金代理</x:v>
      </x:c>
      <x:c r="B7" s="1" t="str">
        <x:v>2024</x:v>
      </x:c>
      <x:c r="C7" s="17" t="n">
        <x:v>52423.7113442646</x:v>
      </x:c>
      <x:c r="D7" s="17" t="n">
        <x:v>60471.50058678577</x:v>
      </x:c>
      <x:c r="E7" s="18" t="n">
        <x:f>D7/C7-1</x:f>
        <x:v>0.15351429794185356</x:v>
      </x:c>
      <x:c r="F7" s="18" t="n">
        <x:v>0.15362713706400144</x:v>
      </x:c>
      <x:c r="G7" s="18" t="n">
        <x:v>0.09293087042076653</x:v>
      </x:c>
      <x:c r="H7" s="18" t="n">
        <x:v>0.4651878248962025</x:v>
      </x:c>
      <x:c r="I7" s="19" t="n">
        <x:v>10</x:v>
      </x:c>
      <x:c r="J7" s="17" t="n">
        <x:v>1003.5082499999999</x:v>
      </x:c>
    </x:row>
    <x:row r="8" ht="24" customHeight="1">
      <x:c r="A8" s="1" t="str">
        <x:v>积存金代理</x:v>
      </x:c>
      <x:c r="B8" s="1" t="str">
        <x:v>2025—2026-09-04</x:v>
      </x:c>
      <x:c r="C8" s="17" t="n">
        <x:v>60471.50058678577</x:v>
      </x:c>
      <x:c r="D8" s="17" t="n">
        <x:v>87970.99886932001</x:v>
      </x:c>
      <x:c r="E8" s="18" t="n">
        <x:f>D8/C8-1</x:f>
        <x:v>0.454751379008171</x:v>
      </x:c>
      <x:c r="F8" s="18" t="n">
        <x:v>0.25116211609563277</x:v>
      </x:c>
      <x:c r="G8" s="18" t="n">
        <x:v>0.09276982828325198</x:v>
      </x:c>
      <x:c r="H8" s="18" t="n">
        <x:v>0.4165117251667173</x:v>
      </x:c>
      <x:c r="I8" s="19" t="n">
        <x:v>13</x:v>
      </x:c>
      <x:c r="J8" s="17" t="n">
        <x:v>595.1305</x:v>
      </x:c>
    </x:row>
    <x:row r="9" ht="24" customHeight="1">
      <x:c r="A9" s="1" t="str">
        <x:v>建信A</x:v>
      </x:c>
      <x:c r="B9" s="1" t="str">
        <x:v>2021—2023</x:v>
      </x:c>
      <x:c r="C9" s="17" t="n">
        <x:v>50000</x:v>
      </x:c>
      <x:c r="D9" s="17" t="n">
        <x:v>55650.08827319121</x:v>
      </x:c>
      <x:c r="E9" s="18" t="n">
        <x:f>D9/C9-1</x:f>
        <x:v>0.11300176546382423</x:v>
      </x:c>
      <x:c r="F9" s="18" t="n">
        <x:v>0.036492337162787436</x:v>
      </x:c>
      <x:c r="G9" s="18" t="n">
        <x:v>0.04766599855999997</x:v>
      </x:c>
      <x:c r="H9" s="18" t="n">
        <x:v>0.37436695507747786</x:v>
      </x:c>
      <x:c r="I9" s="19" t="n">
        <x:v>18</x:v>
      </x:c>
      <x:c r="J9" s="17" t="n">
        <x:v>284.0694608087938</x:v>
      </x:c>
    </x:row>
    <x:row r="10" ht="24" customHeight="1">
      <x:c r="A10" s="1" t="str">
        <x:v>建信A</x:v>
      </x:c>
      <x:c r="B10" s="1" t="str">
        <x:v>2024</x:v>
      </x:c>
      <x:c r="C10" s="17" t="n">
        <x:v>55650.08827319121</x:v>
      </x:c>
      <x:c r="D10" s="17" t="n">
        <x:v>63895.60526404322</x:v>
      </x:c>
      <x:c r="E10" s="18" t="n">
        <x:f>D10/C10-1</x:f>
        <x:v>0.14816718619338087</x:v>
      </x:c>
      <x:c r="F10" s="18" t="n">
        <x:v>0.14827584799490356</x:v>
      </x:c>
      <x:c r="G10" s="18" t="n">
        <x:v>0.058513494942741155</x:v>
      </x:c>
      <x:c r="H10" s="18" t="n">
        <x:v>0.46441383132446534</x:v>
      </x:c>
      <x:c r="I10" s="19" t="n">
        <x:v>10</x:v>
      </x:c>
      <x:c r="J10" s="17" t="n">
        <x:v>920.4586601480058</x:v>
      </x:c>
    </x:row>
    <x:row r="11" ht="24" customHeight="1">
      <x:c r="A11" s="1" t="str">
        <x:v>建信A</x:v>
      </x:c>
      <x:c r="B11" s="1" t="str">
        <x:v>2025—2026-09-04</x:v>
      </x:c>
      <x:c r="C11" s="17" t="n">
        <x:v>63895.60526404322</x:v>
      </x:c>
      <x:c r="D11" s="17" t="n">
        <x:v>91610.10815397881</x:v>
      </x:c>
      <x:c r="E11" s="18" t="n">
        <x:f>D11/C11-1</x:f>
        <x:v>0.43374662115505047</x:v>
      </x:c>
      <x:c r="F11" s="18" t="n">
        <x:v>0.2403313470728099</x:v>
      </x:c>
      <x:c r="G11" s="18" t="n">
        <x:v>0.11102471265630666</x:v>
      </x:c>
      <x:c r="H11" s="18" t="n">
        <x:v>0.4164040805818255</x:v>
      </x:c>
      <x:c r="I11" s="19" t="n">
        <x:v>13</x:v>
      </x:c>
      <x:c r="J11" s="17" t="n">
        <x:v>289.88697206441344</x:v>
      </x:c>
    </x:row>
    <x:row r="12" ht="24" customHeight="1">
      <x:c r="A12" s="1"/>
      <x:c r="B12" s="1"/>
      <x:c r="C12" s="17"/>
      <x:c r="D12" s="17"/>
      <x:c r="E12" s="18"/>
      <x:c r="F12" s="18"/>
      <x:c r="G12" s="18"/>
      <x:c r="H12" s="18"/>
      <x:c r="I12" s="19"/>
      <x:c r="J12" s="17"/>
    </x:row>
    <x:row r="13" ht="24" customHeight="1">
      <x:c r="A13" s="7" t="str">
        <x:v>积存金代理</x:v>
      </x:c>
      <x:c r="B13" s="7" t="str">
        <x:v>全期</x:v>
      </x:c>
      <x:c r="C13" s="20" t="n">
        <x:v>50000</x:v>
      </x:c>
      <x:c r="D13" s="20" t="n">
        <x:v>87970.99886932001</x:v>
      </x:c>
      <x:c r="E13" s="21" t="n">
        <x:f>D13/C13-1</x:f>
        <x:v>0.7594199773864003</x:v>
      </x:c>
      <x:c r="F13" s="21" t="n">
        <x:v>0.10488276603656121</x:v>
      </x:c>
      <x:c r="G13" s="21" t="n">
        <x:v>0.09293087042076653</x:v>
      </x:c>
      <x:c r="H13" s="21" t="n">
        <x:v>0.40305044812608615</x:v>
      </x:c>
      <x:c r="I13" s="22" t="n">
        <x:v>41</x:v>
      </x:c>
      <x:c r="J13" s="20" t="n">
        <x:v>3615.3809999999994</x:v>
      </x:c>
    </x:row>
    <x:row r="14" ht="24" customHeight="1">
      <x:c r="A14" s="7" t="str">
        <x:v>建信A</x:v>
      </x:c>
      <x:c r="B14" s="7" t="str">
        <x:v>全期</x:v>
      </x:c>
      <x:c r="C14" s="20" t="n">
        <x:v>50000</x:v>
      </x:c>
      <x:c r="D14" s="20" t="n">
        <x:v>91610.10815397881</x:v>
      </x:c>
      <x:c r="E14" s="21" t="n">
        <x:f>D14/C14-1</x:f>
        <x:v>0.8322021630795762</x:v>
      </x:c>
      <x:c r="F14" s="21" t="n">
        <x:v>0.11281735827207505</x:v>
      </x:c>
      <x:c r="G14" s="21" t="n">
        <x:v>0.11102471265630666</x:v>
      </x:c>
      <x:c r="H14" s="21" t="n">
        <x:v>0.40264143006535863</x:v>
      </x:c>
      <x:c r="I14" s="22" t="n">
        <x:v>41</x:v>
      </x:c>
      <x:c r="J14" s="20" t="n">
        <x:v>1494.4150930212131</x:v>
      </x:c>
    </x:row>
    <x:row r="15" ht="24" customHeight="1">
      <x:c r="A15" s="1"/>
      <x:c r="B15" s="1"/>
      <x:c r="C15" s="17"/>
      <x:c r="D15" s="17"/>
      <x:c r="E15" s="18"/>
      <x:c r="F15" s="18"/>
      <x:c r="G15" s="18"/>
      <x:c r="H15" s="18"/>
      <x:c r="I15" s="19"/>
      <x:c r="J15" s="17"/>
    </x:row>
    <x:row r="16" ht="24" customHeight="1">
      <x:c r="A16" s="1"/>
      <x:c r="B16" s="1"/>
      <x:c r="C16" s="17"/>
      <x:c r="D16" s="17"/>
      <x:c r="E16" s="18"/>
      <x:c r="F16" s="18"/>
      <x:c r="G16" s="18"/>
      <x:c r="H16" s="18"/>
      <x:c r="I16" s="19"/>
      <x:c r="J16" s="17"/>
    </x:row>
    <x:row r="17" ht="30" customHeight="1">
      <x:c r="A17" s="6" t="str">
        <x:v>产品</x:v>
      </x:c>
      <x:c r="B17" s="6" t="str">
        <x:v>阶段</x:v>
      </x:c>
      <x:c r="C17" s="23" t="str">
        <x:v>期初资产（元）</x:v>
      </x:c>
      <x:c r="D17" s="23" t="str">
        <x:v>期末资产（元）</x:v>
      </x:c>
      <x:c r="E17" s="24" t="str">
        <x:v>累计收益</x:v>
      </x:c>
      <x:c r="F17" s="24" t="str">
        <x:v>年化收益</x:v>
      </x:c>
      <x:c r="G17" s="24" t="str">
        <x:v>最大回撤</x:v>
      </x:c>
      <x:c r="H17" s="24" t="str">
        <x:v>平均仓位</x:v>
      </x:c>
      <x:c r="I17" s="25" t="str">
        <x:v>买卖次数</x:v>
      </x:c>
      <x:c r="J17" s="23" t="str">
        <x:v>费用（元）</x:v>
      </x:c>
    </x:row>
    <x:row r="18" ht="24" customHeight="1">
      <x:c r="A18" s="1" t="str">
        <x:v>积存金代理</x:v>
      </x:c>
      <x:c r="B18" s="1" t="str">
        <x:v>2021</x:v>
      </x:c>
      <x:c r="C18" s="17" t="n">
        <x:v>50000</x:v>
      </x:c>
      <x:c r="D18" s="17" t="n">
        <x:v>48207.78296945259</x:v>
      </x:c>
      <x:c r="E18" s="18" t="n">
        <x:f>D18/C18-1</x:f>
        <x:v>-0.0358443406109481</x:v>
      </x:c>
      <x:c r="F18" s="18" t="n">
        <x:v>-0.036258586757249356</x:v>
      </x:c>
      <x:c r="G18" s="18" t="n">
        <x:v>0.05807092571812388</x:v>
      </x:c>
      <x:c r="H18" s="18" t="n">
        <x:v>0.14548953188380503</x:v>
      </x:c>
      <x:c r="I18" s="19" t="n">
        <x:v>3</x:v>
      </x:c>
      <x:c r="J18" s="17" t="n">
        <x:v>802.40325</x:v>
      </x:c>
    </x:row>
    <x:row r="19" ht="24" customHeight="1">
      <x:c r="A19" s="1" t="str">
        <x:v>积存金代理</x:v>
      </x:c>
      <x:c r="B19" s="1" t="str">
        <x:v>2022</x:v>
      </x:c>
      <x:c r="C19" s="17" t="n">
        <x:v>48207.78296945259</x:v>
      </x:c>
      <x:c r="D19" s="17" t="n">
        <x:v>49915.524409650694</x:v>
      </x:c>
      <x:c r="E19" s="18" t="n">
        <x:f>D19/C19-1</x:f>
        <x:v>0.03542460024100724</x:v>
      </x:c>
      <x:c r="F19" s="18" t="n">
        <x:v>0.03554838775957481</x:v>
      </x:c>
      <x:c r="G19" s="18" t="n">
        <x:v>0.04603059053650682</x:v>
      </x:c>
      <x:c r="H19" s="18" t="n">
        <x:v>0.3307010849054365</x:v>
      </x:c>
      <x:c r="I19" s="19" t="n">
        <x:v>6</x:v>
      </x:c>
      <x:c r="J19" s="17" t="n">
        <x:v>517.328</x:v>
      </x:c>
    </x:row>
    <x:row r="20" ht="24" customHeight="1">
      <x:c r="A20" s="1" t="str">
        <x:v>积存金代理</x:v>
      </x:c>
      <x:c r="B20" s="1" t="str">
        <x:v>2023</x:v>
      </x:c>
      <x:c r="C20" s="17" t="n">
        <x:v>49915.524409650694</x:v>
      </x:c>
      <x:c r="D20" s="17" t="n">
        <x:v>52423.7113442646</x:v>
      </x:c>
      <x:c r="E20" s="18" t="n">
        <x:f>D20/C20-1</x:f>
        <x:v>0.05024863435330307</x:v>
      </x:c>
      <x:c r="F20" s="18" t="n">
        <x:v>0.050425470898056934</x:v>
      </x:c>
      <x:c r="G20" s="18" t="n">
        <x:v>0.07089250920336643</x:v>
      </x:c>
      <x:c r="H20" s="18" t="n">
        <x:v>0.6482770966808893</x:v>
      </x:c>
      <x:c r="I20" s="19" t="n">
        <x:v>9</x:v>
      </x:c>
      <x:c r="J20" s="17" t="n">
        <x:v>697.011</x:v>
      </x:c>
    </x:row>
    <x:row r="21" ht="24" customHeight="1">
      <x:c r="A21" s="1" t="str">
        <x:v>积存金代理</x:v>
      </x:c>
      <x:c r="B21" s="1" t="str">
        <x:v>2024</x:v>
      </x:c>
      <x:c r="C21" s="17" t="n">
        <x:v>52423.7113442646</x:v>
      </x:c>
      <x:c r="D21" s="17" t="n">
        <x:v>60471.50058678577</x:v>
      </x:c>
      <x:c r="E21" s="18" t="n">
        <x:f>D21/C21-1</x:f>
        <x:v>0.15351429794185356</x:v>
      </x:c>
      <x:c r="F21" s="18" t="n">
        <x:v>0.15362713706400144</x:v>
      </x:c>
      <x:c r="G21" s="18" t="n">
        <x:v>0.09293087042076653</x:v>
      </x:c>
      <x:c r="H21" s="18" t="n">
        <x:v>0.4651878248962025</x:v>
      </x:c>
      <x:c r="I21" s="19" t="n">
        <x:v>10</x:v>
      </x:c>
      <x:c r="J21" s="17" t="n">
        <x:v>1003.5082499999999</x:v>
      </x:c>
    </x:row>
    <x:row r="22" ht="24" customHeight="1">
      <x:c r="A22" s="1" t="str">
        <x:v>积存金代理</x:v>
      </x:c>
      <x:c r="B22" s="1" t="str">
        <x:v>2025</x:v>
      </x:c>
      <x:c r="C22" s="17" t="n">
        <x:v>60471.50058678577</x:v>
      </x:c>
      <x:c r="D22" s="17" t="n">
        <x:v>85687.59418941499</x:v>
      </x:c>
      <x:c r="E22" s="18" t="n">
        <x:f>D22/C22-1</x:f>
        <x:v>0.416991365485305</x:v>
      </x:c>
      <x:c r="F22" s="18" t="n">
        <x:v>0.41868837094198597</x:v>
      </x:c>
      <x:c r="G22" s="18" t="n">
        <x:v>0.07734022933809703</x:v>
      </x:c>
      <x:c r="H22" s="18" t="n">
        <x:v>0.6362401662109357</x:v>
      </x:c>
      <x:c r="I22" s="19" t="n">
        <x:v>9</x:v>
      </x:c>
      <x:c r="J22" s="17" t="n">
        <x:v>351.93375</x:v>
      </x:c>
    </x:row>
    <x:row r="23" ht="24" customHeight="1">
      <x:c r="A23" s="1" t="str">
        <x:v>积存金代理</x:v>
      </x:c>
      <x:c r="B23" s="1" t="str">
        <x:v>2026至9月4日</x:v>
      </x:c>
      <x:c r="C23" s="17" t="n">
        <x:v>85687.59418941499</x:v>
      </x:c>
      <x:c r="D23" s="17" t="n">
        <x:v>87970.99886932001</x:v>
      </x:c>
      <x:c r="E23" s="18" t="n">
        <x:f>D23/C23-1</x:f>
        <x:v>0.026648019488766383</x:v>
      </x:c>
      <x:c r="F23" s="18" t="n">
        <x:v>0.039820202888773304</x:v>
      </x:c>
      <x:c r="G23" s="18" t="n">
        <x:v>0.09276982828325198</x:v>
      </x:c>
      <x:c r="H23" s="18" t="n">
        <x:v>0.09093848630241802</x:v>
      </x:c>
      <x:c r="I23" s="19" t="n">
        <x:v>4</x:v>
      </x:c>
      <x:c r="J23" s="17" t="n">
        <x:v>243.19674999999998</x:v>
      </x:c>
    </x:row>
    <x:row r="24" ht="24" customHeight="1">
      <x:c r="A24" s="1" t="str">
        <x:v>建信A</x:v>
      </x:c>
      <x:c r="B24" s="1" t="str">
        <x:v>2021</x:v>
      </x:c>
      <x:c r="C24" s="17" t="n">
        <x:v>50000</x:v>
      </x:c>
      <x:c r="D24" s="17" t="n">
        <x:v>48858.405120323514</x:v>
      </x:c>
      <x:c r="E24" s="18" t="n">
        <x:f>D24/C24-1</x:f>
        <x:v>-0.02283189759352977</x:v>
      </x:c>
      <x:c r="F24" s="18" t="n">
        <x:v>-0.023097565858894553</x:v>
      </x:c>
      <x:c r="G24" s="18" t="n">
        <x:v>0.04766599855999997</x:v>
      </x:c>
      <x:c r="H24" s="18" t="n">
        <x:v>0.14586735904730982</x:v>
      </x:c>
      <x:c r="I24" s="19" t="n">
        <x:v>3</x:v>
      </x:c>
      <x:c r="J24" s="17" t="n">
        <x:v>121.50621567649068</x:v>
      </x:c>
    </x:row>
    <x:row r="25" ht="24" customHeight="1">
      <x:c r="A25" s="1" t="str">
        <x:v>建信A</x:v>
      </x:c>
      <x:c r="B25" s="1" t="str">
        <x:v>2022</x:v>
      </x:c>
      <x:c r="C25" s="17" t="n">
        <x:v>48858.405120323514</x:v>
      </x:c>
      <x:c r="D25" s="17" t="n">
        <x:v>51148.61709753421</x:v>
      </x:c>
      <x:c r="E25" s="18" t="n">
        <x:f>D25/C25-1</x:f>
        <x:v>0.04687447270475964</x:v>
      </x:c>
      <x:c r="F25" s="18" t="n">
        <x:v>0.04703917077760744</x:v>
      </x:c>
      <x:c r="G25" s="18" t="n">
        <x:v>0.03767800168812496</x:v>
      </x:c>
      <x:c r="H25" s="18" t="n">
        <x:v>0.3284230536455809</x:v>
      </x:c>
      <x:c r="I25" s="19" t="n">
        <x:v>6</x:v>
      </x:c>
      <x:c r="J25" s="17" t="n">
        <x:v>52.98747378931694</x:v>
      </x:c>
    </x:row>
    <x:row r="26" ht="24" customHeight="1">
      <x:c r="A26" s="1" t="str">
        <x:v>建信A</x:v>
      </x:c>
      <x:c r="B26" s="1" t="str">
        <x:v>2023</x:v>
      </x:c>
      <x:c r="C26" s="17" t="n">
        <x:v>51148.61709753421</x:v>
      </x:c>
      <x:c r="D26" s="17" t="n">
        <x:v>55650.08827319121</x:v>
      </x:c>
      <x:c r="E26" s="18" t="n">
        <x:f>D26/C26-1</x:f>
        <x:v>0.08800768097157441</x:v>
      </x:c>
      <x:c r="F26" s="18" t="n">
        <x:v>0.08832287599472878</x:v>
      </x:c>
      <x:c r="G26" s="18" t="n">
        <x:v>0.024005082723208115</x:v>
      </x:c>
      <x:c r="H26" s="18" t="n">
        <x:v>0.6488104525395428</x:v>
      </x:c>
      <x:c r="I26" s="19" t="n">
        <x:v>9</x:v>
      </x:c>
      <x:c r="J26" s="17" t="n">
        <x:v>109.57577134298617</x:v>
      </x:c>
    </x:row>
    <x:row r="27" ht="24" customHeight="1">
      <x:c r="A27" s="1" t="str">
        <x:v>建信A</x:v>
      </x:c>
      <x:c r="B27" s="1" t="str">
        <x:v>2024</x:v>
      </x:c>
      <x:c r="C27" s="17" t="n">
        <x:v>55650.08827319121</x:v>
      </x:c>
      <x:c r="D27" s="17" t="n">
        <x:v>63895.60526404322</x:v>
      </x:c>
      <x:c r="E27" s="18" t="n">
        <x:f>D27/C27-1</x:f>
        <x:v>0.14816718619338087</x:v>
      </x:c>
      <x:c r="F27" s="18" t="n">
        <x:v>0.14827584799490356</x:v>
      </x:c>
      <x:c r="G27" s="18" t="n">
        <x:v>0.058513494942741155</x:v>
      </x:c>
      <x:c r="H27" s="18" t="n">
        <x:v>0.46441383132446534</x:v>
      </x:c>
      <x:c r="I27" s="19" t="n">
        <x:v>10</x:v>
      </x:c>
      <x:c r="J27" s="17" t="n">
        <x:v>920.4586601480058</x:v>
      </x:c>
    </x:row>
    <x:row r="28" ht="24" customHeight="1">
      <x:c r="A28" s="1" t="str">
        <x:v>建信A</x:v>
      </x:c>
      <x:c r="B28" s="1" t="str">
        <x:v>2025</x:v>
      </x:c>
      <x:c r="C28" s="17" t="n">
        <x:v>63895.60526404322</x:v>
      </x:c>
      <x:c r="D28" s="17" t="n">
        <x:v>89185.70315722545</x:v>
      </x:c>
      <x:c r="E28" s="18" t="n">
        <x:f>D28/C28-1</x:f>
        <x:v>0.3958034013242855</x:v>
      </x:c>
      <x:c r="F28" s="18" t="n">
        <x:v>0.39740273306727913</x:v>
      </x:c>
      <x:c r="G28" s="18" t="n">
        <x:v>0.0740389143092256</x:v>
      </x:c>
      <x:c r="H28" s="18" t="n">
        <x:v>0.6360327835276808</x:v>
      </x:c>
      <x:c r="I28" s="19" t="n">
        <x:v>9</x:v>
      </x:c>
      <x:c r="J28" s="17" t="n">
        <x:v>68.7234548177762</x:v>
      </x:c>
    </x:row>
    <x:row r="29" ht="24" customHeight="1">
      <x:c r="A29" s="1" t="str">
        <x:v>建信A</x:v>
      </x:c>
      <x:c r="B29" s="1" t="str">
        <x:v>2026至9月4日</x:v>
      </x:c>
      <x:c r="C29" s="17" t="n">
        <x:v>89185.70315722545</x:v>
      </x:c>
      <x:c r="D29" s="17" t="n">
        <x:v>91610.10815397881</x:v>
      </x:c>
      <x:c r="E29" s="18" t="n">
        <x:f>D29/C29-1</x:f>
        <x:v>0.027183785191213783</x:v>
      </x:c>
      <x:c r="F29" s="18" t="n">
        <x:v>0.04062599243284426</x:v>
      </x:c>
      <x:c r="G29" s="18" t="n">
        <x:v>0.11102471265630666</x:v>
      </x:c>
      <x:c r="H29" s="18" t="n">
        <x:v>0.09097862438766208</x:v>
      </x:c>
      <x:c r="I29" s="19" t="n">
        <x:v>4</x:v>
      </x:c>
      <x:c r="J29" s="17" t="n">
        <x:v>221.16351724663724</x:v>
      </x:c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4" customHeight="1">
      <x:c r="A32" s="26" t="str">
        <x:v>同口径比较（前期固定参数，后期检查约束）</x:v>
      </x:c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30" customHeight="1">
      <x:c r="A34" s="6" t="str">
        <x:v>方法</x:v>
      </x:c>
      <x:c r="B34" s="6" t="str"/>
      <x:c r="C34" s="6" t="str">
        <x:v>积存金年化</x:v>
      </x:c>
      <x:c r="D34" s="6" t="str">
        <x:v>建信A年化</x:v>
      </x:c>
      <x:c r="E34" s="6" t="str">
        <x:v>最差全期回撤</x:v>
      </x:c>
      <x:c r="F34" s="6" t="str">
        <x:v>六阶段合格</x:v>
      </x:c>
      <x:c r="G34" s="1"/>
      <x:c r="H34" s="1"/>
      <x:c r="I34" s="1"/>
      <x:c r="J34" s="1"/>
    </x:row>
    <x:row r="35" ht="24" customHeight="1">
      <x:c r="A35" s="1" t="str">
        <x:v>趋势＋波动率控仓＋回撤退出</x:v>
      </x:c>
      <x:c r="B35" s="1"/>
      <x:c r="C35" s="11" t="n">
        <x:v>0.10488276603656121</x:v>
      </x:c>
      <x:c r="D35" s="11" t="n">
        <x:v>0.11281735827207505</x:v>
      </x:c>
      <x:c r="E35" s="11" t="n">
        <x:v>0.11102471265630666</x:v>
      </x:c>
      <x:c r="F35" s="27" t="str">
        <x:v>是</x:v>
      </x:c>
      <x:c r="G35" s="1"/>
      <x:c r="H35" s="1"/>
      <x:c r="I35" s="1"/>
      <x:c r="J35" s="1"/>
    </x:row>
    <x:row r="36" ht="24" customHeight="1">
      <x:c r="A36" s="1" t="str">
        <x:v>旧策略1：通道突破</x:v>
      </x:c>
      <x:c r="B36" s="1"/>
      <x:c r="C36" s="11" t="n">
        <x:v>0.11072493538027306</x:v>
      </x:c>
      <x:c r="D36" s="11" t="n">
        <x:v>0.10417774188265527</x:v>
      </x:c>
      <x:c r="E36" s="11" t="n">
        <x:v>0.18170958263844406</x:v>
      </x:c>
      <x:c r="F36" s="27" t="str">
        <x:v>否</x:v>
      </x:c>
      <x:c r="G36" s="1"/>
      <x:c r="H36" s="1"/>
      <x:c r="I36" s="1"/>
      <x:c r="J36" s="1"/>
    </x:row>
    <x:row r="37" ht="24" customHeight="1">
      <x:c r="A37" s="1" t="str">
        <x:v>旧策略2：波动率动量</x:v>
      </x:c>
      <x:c r="B37" s="1"/>
      <x:c r="C37" s="11" t="n">
        <x:v>0.07096440454481678</x:v>
      </x:c>
      <x:c r="D37" s="11" t="n">
        <x:v>0.08061849934120291</x:v>
      </x:c>
      <x:c r="E37" s="11" t="n">
        <x:v>0.1247160482037396</x:v>
      </x:c>
      <x:c r="F37" s="27" t="str">
        <x:v>是</x:v>
      </x:c>
      <x:c r="G37" s="1"/>
      <x:c r="H37" s="1"/>
      <x:c r="I37" s="1"/>
      <x:c r="J37" s="1"/>
    </x:row>
    <x:row r="38" ht="24" customHeight="1">
      <x:c r="A38" s="1" t="str">
        <x:v>旧策略3：宏观状态</x:v>
      </x:c>
      <x:c r="B38" s="1"/>
      <x:c r="C38" s="11" t="n">
        <x:v>0.10897336890695186</x:v>
      </x:c>
      <x:c r="D38" s="11" t="n">
        <x:v>0.1084954372985476</x:v>
      </x:c>
      <x:c r="E38" s="11" t="n">
        <x:v>0.19037618247010635</x:v>
      </x:c>
      <x:c r="F38" s="27" t="str">
        <x:v>否</x:v>
      </x:c>
      <x:c r="G38" s="1"/>
      <x:c r="H38" s="1"/>
      <x:c r="I38" s="1"/>
      <x:c r="J38" s="1"/>
    </x:row>
    <x:row r="39" ht="24" customHeight="1">
      <x:c r="A39" s="1" t="str">
        <x:v>初始100%买入后持有</x:v>
      </x:c>
      <x:c r="B39" s="1"/>
      <x:c r="C39" s="11" t="n">
        <x:v>0.16409295734309695</x:v>
      </x:c>
      <x:c r="D39" s="11" t="n">
        <x:v>0.15858044288480988</x:v>
      </x:c>
      <x:c r="E39" s="11" t="n">
        <x:v>0.3003991482557049</x:v>
      </x:c>
      <x:c r="F39" s="27" t="str">
        <x:v>否</x:v>
      </x:c>
      <x:c r="G39" s="1"/>
      <x:c r="H39" s="1"/>
      <x:c r="I39" s="1"/>
      <x:c r="J39" s="1"/>
    </x:row>
    <x:row r="40" ht="24" customHeight="1">
      <x:c r="A40" s="1" t="str">
        <x:v>初始60%买入后持有</x:v>
      </x:c>
      <x:c r="B40" s="1"/>
      <x:c r="C40" s="11" t="n">
        <x:v>0.11138470543580838</x:v>
      </x:c>
      <x:c r="D40" s="11" t="n">
        <x:v>0.10741780018943414</x:v>
      </x:c>
      <x:c r="E40" s="11" t="n">
        <x:v>0.24546376163063122</x:v>
      </x:c>
      <x:c r="F40" s="27" t="str">
        <x:v>否</x:v>
      </x:c>
      <x:c r="G40" s="1"/>
      <x:c r="H40" s="1"/>
      <x:c r="I40" s="1"/>
      <x:c r="J40" s="1"/>
    </x:row>
    <x:row r="41" ht="24" customHeight="1">
      <x:c r="A41" s="1" t="str">
        <x:v>趋势＋回撤退出</x:v>
      </x:c>
      <x:c r="B41" s="1"/>
      <x:c r="C41" s="11" t="n">
        <x:v>0.12237195836914448</x:v>
      </x:c>
      <x:c r="D41" s="11" t="n">
        <x:v>0.1263686460633655</x:v>
      </x:c>
      <x:c r="E41" s="11" t="n">
        <x:v>0.20678972124268882</x:v>
      </x:c>
      <x:c r="F41" s="27" t="str">
        <x:v>否</x:v>
      </x:c>
      <x:c r="G41" s="1"/>
      <x:c r="H41" s="1"/>
      <x:c r="I41" s="1"/>
      <x:c r="J41" s="1"/>
    </x:row>
    <x:row r="42" ht="24" customHeight="1">
      <x:c r="A42" s="1" t="str">
        <x:v>多周期趋势组合</x:v>
      </x:c>
      <x:c r="B42" s="1"/>
      <x:c r="C42" s="11" t="n">
        <x:v>0.10123436578826951</x:v>
      </x:c>
      <x:c r="D42" s="11" t="n">
        <x:v>0.11123885736744699</x:v>
      </x:c>
      <x:c r="E42" s="11" t="n">
        <x:v>0.2334265828745803</x:v>
      </x:c>
      <x:c r="F42" s="27" t="str">
        <x:v>否</x:v>
      </x:c>
      <x:c r="G42" s="1"/>
      <x:c r="H42" s="1"/>
      <x:c r="I42" s="1"/>
      <x:c r="J42" s="1"/>
    </x:row>
    <x:row r="43" ht="24" customHeight="1">
      <x:c r="A43" s="1" t="str">
        <x:v>双周期动量＋波动率控仓</x:v>
      </x:c>
      <x:c r="B43" s="1"/>
      <x:c r="C43" s="11" t="n">
        <x:v>0.08905292448449131</x:v>
      </x:c>
      <x:c r="D43" s="11" t="n">
        <x:v>0.09945551767641024</x:v>
      </x:c>
      <x:c r="E43" s="11" t="n">
        <x:v>0.11102473422491466</x:v>
      </x:c>
      <x:c r="F43" s="27" t="str">
        <x:v>是</x:v>
      </x:c>
      <x:c r="G43" s="1"/>
      <x:c r="H43" s="1"/>
      <x:c r="I43" s="1"/>
      <x:c r="J43" s="1"/>
    </x:row>
    <x:row r="44" ht="24" customHeight="1">
      <x:c r="A44" s="1" t="str">
        <x:v>快退出通道</x:v>
      </x:c>
      <x:c r="B44" s="1"/>
      <x:c r="C44" s="11" t="n">
        <x:v>0.07918539425633542</x:v>
      </x:c>
      <x:c r="D44" s="11" t="n">
        <x:v>0.08096375987415726</x:v>
      </x:c>
      <x:c r="E44" s="11" t="n">
        <x:v>0.162228712451951</x:v>
      </x:c>
      <x:c r="F44" s="27" t="str">
        <x:v>否</x:v>
      </x:c>
      <x:c r="G44" s="1"/>
      <x:c r="H44" s="1"/>
      <x:c r="I44" s="1"/>
      <x:c r="J44" s="1"/>
    </x:row>
    <x:row r="45" ht="24" customHeight="1">
      <x:c r="A45" s="1" t="str">
        <x:v>趋势内回调买入</x:v>
      </x:c>
      <x:c r="B45" s="1"/>
      <x:c r="C45" s="11" t="n">
        <x:v>0.06286351742301832</x:v>
      </x:c>
      <x:c r="D45" s="11" t="n">
        <x:v>0.07017818700973288</x:v>
      </x:c>
      <x:c r="E45" s="11" t="n">
        <x:v>0.10268548630219387</x:v>
      </x:c>
      <x:c r="F45" s="27" t="str">
        <x:v>是</x:v>
      </x:c>
      <x:c r="G45" s="1"/>
      <x:c r="H45" s="1"/>
      <x:c r="I45" s="1"/>
      <x:c r="J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24" customHeight="1">
      <x:c r="A48" s="1" t="str">
        <x:v>费用口径：建信A标准申购1.5%；支付宝具体优惠未核实。0.15%情景年化为11.28%。</x:v>
      </x:c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4" customHeight="1">
      <x:c r="A49" s="1" t="str">
        <x:v>赎回按FIFO持有天数收费：不足7日1.5%，7至不足30日0.5%，满30日0%；到账按T+7保守测算。</x:v>
      </x:c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4" customHeight="1">
      <x:c r="A50" s="1" t="str">
        <x:v>积存金为伦敦金×汇率的价格代理，买卖各2.5元/克；缺少历史客户报价及完整历史下单规则。</x:v>
      </x:c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4" customHeight="1">
      <x:c r="A51" s="1" t="str">
        <x:v>平均仓位按阶段每日净值时点计算。阶段收益含首日变化与费用；期末按净值/中间价估值，未清仓。</x:v>
      </x:c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4" customHeight="1">
      <x:c r="A52" s="1" t="str">
        <x:v>本表是固定输入的回测快照；Excel只重算资产收益比率，更改策略需重新运行回测。</x:v>
      </x:c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24" customHeight="1">
      <x:c r="A53" s="1" t="str">
        <x:v>已检查资金与份额对账、赎回到账占用及未来数据截断；历史约束不保证未来回撤。</x:v>
      </x:c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24" customHeight="1">
      <x:c r="A54" s="1" t="str">
        <x:v>产品费率来源：https://www.ccbfund.cn/u/cms/jx/brief/009033.pdf</x:v>
      </x:c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24" customHeight="1">
      <x:c r="A55" s="1" t="str">
        <x:v>伦敦金来源：https://www.westmetall.com/en/markdaten.php?action=table&amp;field=USD_ozt_London&amp;year=2026</x:v>
      </x:c>
      <x:c r="B55" s="1"/>
      <x:c r="C55" s="1"/>
      <x:c r="D55" s="1"/>
      <x:c r="E55" s="1"/>
      <x:c r="F55" s="1"/>
      <x:c r="G55" s="1"/>
      <x:c r="H55" s="1"/>
      <x:c r="I55" s="1"/>
      <x:c r="J55" s="1"/>
    </x:row>
    <x:row r="56" ht="24" customHeight="1">
      <x:c r="A56" s="1" t="str">
        <x:v>完整执行假设、点差报道与验证记录见随附研究结论。</x:v>
      </x:c>
      <x:c r="B56" s="1"/>
      <x:c r="C56" s="1"/>
      <x:c r="D56" s="1"/>
      <x:c r="E56" s="1"/>
      <x:c r="F56" s="1"/>
      <x:c r="G56" s="1"/>
      <x:c r="H56" s="1"/>
      <x:c r="I56" s="1"/>
      <x:c r="J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 ht="24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 ht="24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 ht="24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 ht="24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 ht="24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 ht="24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 ht="24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 ht="24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 ht="24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 ht="24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 ht="24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 ht="24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 ht="24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 ht="24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 ht="24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 ht="24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 ht="24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 ht="24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 ht="24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 ht="24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 ht="24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 ht="24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 ht="24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 ht="24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 ht="24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 ht="24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 ht="24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 ht="24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 ht="24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 ht="24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  <x:row r="101" ht="24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</x:row>
    <x:row r="102" ht="24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 ht="24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  <x:row r="104" ht="24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</x:row>
    <x:row r="105" ht="24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</x:row>
    <x:row r="106" ht="24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7" hidden="0" customWidth="1"/>
    <x:col min="3" max="3" width="12" hidden="0" customWidth="1"/>
    <x:col min="4" max="4" width="19" hidden="0" customWidth="1"/>
    <x:col min="5" max="5" width="21" hidden="0" customWidth="1"/>
    <x:col min="6" max="6" width="22" hidden="0" customWidth="1"/>
    <x:col min="7" max="7" width="19" hidden="0" customWidth="1"/>
    <x:col min="8" max="8" width="16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主候选交易记录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 t="str">
        <x:v>买入金额含申购费或点差；卖出金额已扣赎回费或点差。信号信息均早于成交日期。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6" t="str">
        <x:v>产品</x:v>
      </x:c>
      <x:c r="B5" s="6" t="str">
        <x:v>成交日期</x:v>
      </x:c>
      <x:c r="C5" s="6" t="str">
        <x:v>买卖</x:v>
      </x:c>
      <x:c r="D5" s="6" t="str">
        <x:v>份额／克数</x:v>
      </x:c>
      <x:c r="E5" s="6" t="str">
        <x:v>净值／中间价</x:v>
      </x:c>
      <x:c r="F5" s="6" t="str">
        <x:v>现金金额（元）</x:v>
      </x:c>
      <x:c r="G5" s="6" t="str">
        <x:v>费用（元）</x:v>
      </x:c>
      <x:c r="H5" s="6" t="str">
        <x:v>目标仓位</x:v>
      </x:c>
      <x:c r="I5" s="1"/>
      <x:c r="J5" s="1"/>
    </x:row>
    <x:row r="6" ht="24" customHeight="1">
      <x:c r="A6" s="1" t="str">
        <x:v>建信A</x:v>
      </x:c>
      <x:c r="B6" s="29" t="n">
        <x:v>44349</x:v>
      </x:c>
      <x:c r="C6" s="27" t="str">
        <x:v>买入</x:v>
      </x:c>
      <x:c r="D6" s="30" t="n">
        <x:v>44266.22</x:v>
      </x:c>
      <x:c r="E6" s="30" t="n">
        <x:v>0.9601</x:v>
      </x:c>
      <x:c r="F6" s="8" t="n">
        <x:v>42563.747822</x:v>
      </x:c>
      <x:c r="G6" s="8" t="n">
        <x:v>63.75</x:v>
      </x:c>
      <x:c r="H6" s="31" t="n">
        <x:v>0.8500000000000001</x:v>
      </x:c>
      <x:c r="I6" s="1"/>
      <x:c r="J6" s="1"/>
    </x:row>
    <x:row r="7" ht="24" customHeight="1">
      <x:c r="A7" s="1" t="str">
        <x:v>积存金代理</x:v>
      </x:c>
      <x:c r="B7" s="29" t="n">
        <x:v>44349</x:v>
      </x:c>
      <x:c r="C7" s="27" t="str">
        <x:v>买入</x:v>
      </x:c>
      <x:c r="D7" s="30" t="n">
        <x:v>108.5754</x:v>
      </x:c>
      <x:c r="E7" s="30" t="n">
        <x:v>388.9330256861416</x:v>
      </x:c>
      <x:c r="F7" s="8" t="n">
        <x:v>42499.9973370831</x:v>
      </x:c>
      <x:c r="G7" s="8" t="n">
        <x:v>271.4385</x:v>
      </x:c>
      <x:c r="H7" s="31" t="n">
        <x:v>0.8500000000000001</x:v>
      </x:c>
      <x:c r="I7" s="1"/>
      <x:c r="J7" s="1"/>
    </x:row>
    <x:row r="8" ht="24" customHeight="1">
      <x:c r="A8" s="1" t="str">
        <x:v>建信A</x:v>
      </x:c>
      <x:c r="B8" s="29" t="n">
        <x:v>44379</x:v>
      </x:c>
      <x:c r="C8" s="27" t="str">
        <x:v>卖出</x:v>
      </x:c>
      <x:c r="D8" s="30" t="n">
        <x:v>44266.22</x:v>
      </x:c>
      <x:c r="E8" s="30" t="n">
        <x:v>0.9193</x:v>
      </x:c>
      <x:c r="F8" s="8" t="n">
        <x:v>40693.936046</x:v>
      </x:c>
      <x:c r="G8" s="8" t="n">
        <x:v>0</x:v>
      </x:c>
      <x:c r="H8" s="31" t="n">
        <x:v>0</x:v>
      </x:c>
      <x:c r="I8" s="1"/>
      <x:c r="J8" s="1"/>
    </x:row>
    <x:row r="9" ht="24" customHeight="1">
      <x:c r="A9" s="1" t="str">
        <x:v>积存金代理</x:v>
      </x:c>
      <x:c r="B9" s="29" t="n">
        <x:v>44379</x:v>
      </x:c>
      <x:c r="C9" s="27" t="str">
        <x:v>卖出</x:v>
      </x:c>
      <x:c r="D9" s="30" t="n">
        <x:v>108.5754</x:v>
      </x:c>
      <x:c r="E9" s="30" t="n">
        <x:v>370.8577160081077</x:v>
      </x:c>
      <x:c r="F9" s="8" t="n">
        <x:v>39994.5863586667</x:v>
      </x:c>
      <x:c r="G9" s="8" t="n">
        <x:v>271.4385</x:v>
      </x:c>
      <x:c r="H9" s="31" t="n">
        <x:v>0</x:v>
      </x:c>
      <x:c r="I9" s="1"/>
      <x:c r="J9" s="1"/>
    </x:row>
    <x:row r="10" ht="24" customHeight="1">
      <x:c r="A10" s="1" t="str">
        <x:v>建信A</x:v>
      </x:c>
      <x:c r="B10" s="29" t="n">
        <x:v>44532</x:v>
      </x:c>
      <x:c r="C10" s="27" t="str">
        <x:v>买入</x:v>
      </x:c>
      <x:c r="D10" s="30" t="n">
        <x:v>42715.93</x:v>
      </x:c>
      <x:c r="E10" s="30" t="n">
        <x:v>0.9014</x:v>
      </x:c>
      <x:c r="F10" s="8" t="n">
        <x:v>38561.89551767649</x:v>
      </x:c>
      <x:c r="G10" s="8" t="n">
        <x:v>57.75621567649068</x:v>
      </x:c>
      <x:c r="H10" s="31" t="n">
        <x:v>0.8</x:v>
      </x:c>
      <x:c r="I10" s="1"/>
      <x:c r="J10" s="1"/>
    </x:row>
    <x:row r="11" ht="24" customHeight="1">
      <x:c r="A11" s="1" t="str">
        <x:v>积存金代理</x:v>
      </x:c>
      <x:c r="B11" s="29" t="n">
        <x:v>44532</x:v>
      </x:c>
      <x:c r="C11" s="27" t="str">
        <x:v>买入</x:v>
      </x:c>
      <x:c r="D11" s="30" t="n">
        <x:v>103.8105</x:v>
      </x:c>
      <x:c r="E11" s="30" t="n">
        <x:v>363.5096726424189</x:v>
      </x:c>
      <x:c r="F11" s="8" t="n">
        <x:v>37995.647121845825</x:v>
      </x:c>
      <x:c r="G11" s="8" t="n">
        <x:v>259.52625</x:v>
      </x:c>
      <x:c r="H11" s="31" t="n">
        <x:v>0.8</x:v>
      </x:c>
      <x:c r="I11" s="1"/>
      <x:c r="J11" s="1"/>
    </x:row>
    <x:row r="12" ht="24" customHeight="1">
      <x:c r="A12" s="1" t="str">
        <x:v>建信A</x:v>
      </x:c>
      <x:c r="B12" s="29" t="n">
        <x:v>44599</x:v>
      </x:c>
      <x:c r="C12" s="27" t="str">
        <x:v>买入</x:v>
      </x:c>
      <x:c r="D12" s="30" t="n">
        <x:v>2553.55</x:v>
      </x:c>
      <x:c r="E12" s="30" t="n">
        <x:v>0.9114</x:v>
      </x:c>
      <x:c r="F12" s="8" t="n">
        <x:v>2330.7964335546685</x:v>
      </x:c>
      <x:c r="G12" s="8" t="n">
        <x:v>3.4909635546682694</x:v>
      </x:c>
      <x:c r="H12" s="31" t="n">
        <x:v>0.8500000000000001</x:v>
      </x:c>
      <x:c r="I12" s="1"/>
      <x:c r="J12" s="1"/>
    </x:row>
    <x:row r="13" ht="24" customHeight="1">
      <x:c r="A13" s="1" t="str">
        <x:v>积存金代理</x:v>
      </x:c>
      <x:c r="B13" s="29" t="n">
        <x:v>44599</x:v>
      </x:c>
      <x:c r="C13" s="27" t="str">
        <x:v>买入</x:v>
      </x:c>
      <x:c r="D13" s="30" t="n">
        <x:v>6.3512</x:v>
      </x:c>
      <x:c r="E13" s="30" t="n">
        <x:v>370.3125658491722</x:v>
      </x:c>
      <x:c r="F13" s="8" t="n">
        <x:v>2367.8071682212626</x:v>
      </x:c>
      <x:c r="G13" s="8" t="n">
        <x:v>15.878</x:v>
      </x:c>
      <x:c r="H13" s="31" t="n">
        <x:v>0.8500000000000001</x:v>
      </x:c>
      <x:c r="I13" s="1"/>
      <x:c r="J13" s="1"/>
    </x:row>
    <x:row r="14" ht="24" customHeight="1">
      <x:c r="A14" s="1" t="str">
        <x:v>建信A</x:v>
      </x:c>
      <x:c r="B14" s="29" t="n">
        <x:v>44622</x:v>
      </x:c>
      <x:c r="C14" s="27" t="str">
        <x:v>卖出</x:v>
      </x:c>
      <x:c r="D14" s="30" t="n">
        <x:v>10891.82</x:v>
      </x:c>
      <x:c r="E14" s="30" t="n">
        <x:v>0.9628</x:v>
      </x:c>
      <x:c r="F14" s="8" t="n">
        <x:v>10486.644296</x:v>
      </x:c>
      <x:c r="G14" s="8" t="n">
        <x:v>0</x:v>
      </x:c>
      <x:c r="H14" s="31" t="n">
        <x:v>0.65</x:v>
      </x:c>
      <x:c r="I14" s="1"/>
      <x:c r="J14" s="1"/>
    </x:row>
    <x:row r="15" ht="24" customHeight="1">
      <x:c r="A15" s="1" t="str">
        <x:v>积存金代理</x:v>
      </x:c>
      <x:c r="B15" s="29" t="n">
        <x:v>44622</x:v>
      </x:c>
      <x:c r="C15" s="27" t="str">
        <x:v>卖出</x:v>
      </x:c>
      <x:c r="D15" s="30" t="n">
        <x:v>26.6562</x:v>
      </x:c>
      <x:c r="E15" s="30" t="n">
        <x:v>390.8228400882512</x:v>
      </x:c>
      <x:c r="F15" s="8" t="n">
        <x:v>10351.211289960442</x:v>
      </x:c>
      <x:c r="G15" s="8" t="n">
        <x:v>66.6405</x:v>
      </x:c>
      <x:c r="H15" s="31" t="n">
        <x:v>0.65</x:v>
      </x:c>
      <x:c r="I15" s="1"/>
      <x:c r="J15" s="1"/>
    </x:row>
    <x:row r="16" ht="24" customHeight="1">
      <x:c r="A16" s="1" t="str">
        <x:v>建信A</x:v>
      </x:c>
      <x:c r="B16" s="29" t="n">
        <x:v>44657</x:v>
      </x:c>
      <x:c r="C16" s="27" t="str">
        <x:v>卖出</x:v>
      </x:c>
      <x:c r="D16" s="30" t="n">
        <x:v>5416.03</x:v>
      </x:c>
      <x:c r="E16" s="30" t="n">
        <x:v>0.9655</x:v>
      </x:c>
      <x:c r="F16" s="8" t="n">
        <x:v>5229.176965</x:v>
      </x:c>
      <x:c r="G16" s="8" t="n">
        <x:v>0</x:v>
      </x:c>
      <x:c r="H16" s="31" t="n">
        <x:v>0.55</x:v>
      </x:c>
      <x:c r="I16" s="1"/>
      <x:c r="J16" s="1"/>
    </x:row>
    <x:row r="17" ht="24" customHeight="1">
      <x:c r="A17" s="1" t="str">
        <x:v>积存金代理</x:v>
      </x:c>
      <x:c r="B17" s="29" t="n">
        <x:v>44657</x:v>
      </x:c>
      <x:c r="C17" s="27" t="str">
        <x:v>卖出</x:v>
      </x:c>
      <x:c r="D17" s="30" t="n">
        <x:v>13.1742</x:v>
      </x:c>
      <x:c r="E17" s="30" t="n">
        <x:v>394.6317666993516</x:v>
      </x:c>
      <x:c r="F17" s="8" t="n">
        <x:v>5166.022320850599</x:v>
      </x:c>
      <x:c r="G17" s="8" t="n">
        <x:v>32.935500000000005</x:v>
      </x:c>
      <x:c r="H17" s="31" t="n">
        <x:v>0.55</x:v>
      </x:c>
      <x:c r="I17" s="1"/>
      <x:c r="J17" s="1"/>
    </x:row>
    <x:row r="18" ht="24" customHeight="1">
      <x:c r="A18" s="1" t="str">
        <x:v>建信A</x:v>
      </x:c>
      <x:c r="B18" s="29" t="n">
        <x:v>44686</x:v>
      </x:c>
      <x:c r="C18" s="27" t="str">
        <x:v>买入</x:v>
      </x:c>
      <x:c r="D18" s="30" t="n">
        <x:v>4933.04</x:v>
      </x:c>
      <x:c r="E18" s="30" t="n">
        <x:v>0.9883</x:v>
      </x:c>
      <x:c r="F18" s="8" t="n">
        <x:v>4882.636422514229</x:v>
      </x:c>
      <x:c r="G18" s="8" t="n">
        <x:v>7.312990514228659</x:v>
      </x:c>
      <x:c r="H18" s="31" t="n">
        <x:v>0.65</x:v>
      </x:c>
      <x:c r="I18" s="1"/>
      <x:c r="J18" s="1"/>
    </x:row>
    <x:row r="19" ht="24" customHeight="1">
      <x:c r="A19" s="1" t="str">
        <x:v>积存金代理</x:v>
      </x:c>
      <x:c r="B19" s="29" t="n">
        <x:v>44686</x:v>
      </x:c>
      <x:c r="C19" s="27" t="str">
        <x:v>买入</x:v>
      </x:c>
      <x:c r="D19" s="30" t="n">
        <x:v>11.5474</x:v>
      </x:c>
      <x:c r="E19" s="30" t="n">
        <x:v>402.6088216797772</x:v>
      </x:c>
      <x:c r="F19" s="8" t="n">
        <x:v>4677.953607465059</x:v>
      </x:c>
      <x:c r="G19" s="8" t="n">
        <x:v>28.868499999999997</x:v>
      </x:c>
      <x:c r="H19" s="31" t="n">
        <x:v>0.65</x:v>
      </x:c>
      <x:c r="I19" s="1"/>
      <x:c r="J19" s="1"/>
    </x:row>
    <x:row r="20" ht="24" customHeight="1">
      <x:c r="A20" s="1" t="str">
        <x:v>建信A</x:v>
      </x:c>
      <x:c r="B20" s="29" t="n">
        <x:v>44714</x:v>
      </x:c>
      <x:c r="C20" s="27" t="str">
        <x:v>卖出</x:v>
      </x:c>
      <x:c r="D20" s="30" t="n">
        <x:v>33894.67</x:v>
      </x:c>
      <x:c r="E20" s="30" t="n">
        <x:v>0.9754</x:v>
      </x:c>
      <x:c r="F20" s="8" t="n">
        <x:v>33060.861118</x:v>
      </x:c>
      <x:c r="G20" s="8" t="n">
        <x:v>0</x:v>
      </x:c>
      <x:c r="H20" s="31" t="n">
        <x:v>0</x:v>
      </x:c>
      <x:c r="I20" s="1"/>
      <x:c r="J20" s="1"/>
    </x:row>
    <x:row r="21" ht="24" customHeight="1">
      <x:c r="A21" s="1" t="str">
        <x:v>积存金代理</x:v>
      </x:c>
      <x:c r="B21" s="29" t="n">
        <x:v>44718</x:v>
      </x:c>
      <x:c r="C21" s="27" t="str">
        <x:v>卖出</x:v>
      </x:c>
      <x:c r="D21" s="30" t="n">
        <x:v>81.87870000000001</x:v>
      </x:c>
      <x:c r="E21" s="30" t="n">
        <x:v>396.4088565537423</x:v>
      </x:c>
      <x:c r="F21" s="8" t="n">
        <x:v>32252.745093106903</x:v>
      </x:c>
      <x:c r="G21" s="8" t="n">
        <x:v>204.69675</x:v>
      </x:c>
      <x:c r="H21" s="31" t="n">
        <x:v>0</x:v>
      </x:c>
      <x:c r="I21" s="1"/>
      <x:c r="J21" s="1"/>
    </x:row>
    <x:row r="22" ht="24" customHeight="1">
      <x:c r="A22" s="1" t="str">
        <x:v>建信A</x:v>
      </x:c>
      <x:c r="B22" s="29" t="n">
        <x:v>44897</x:v>
      </x:c>
      <x:c r="C22" s="27" t="str">
        <x:v>买入</x:v>
      </x:c>
      <x:c r="D22" s="30" t="n">
        <x:v>28218.28</x:v>
      </x:c>
      <x:c r="E22" s="30" t="n">
        <x:v>0.9966</x:v>
      </x:c>
      <x:c r="F22" s="8" t="n">
        <x:v>28164.52136772042</x:v>
      </x:c>
      <x:c r="G22" s="8" t="n">
        <x:v>42.18351972042001</x:v>
      </x:c>
      <x:c r="H22" s="31" t="n">
        <x:v>0.55</x:v>
      </x:c>
      <x:c r="I22" s="1"/>
      <x:c r="J22" s="1"/>
    </x:row>
    <x:row r="23" ht="24" customHeight="1">
      <x:c r="A23" s="1" t="str">
        <x:v>积存金代理</x:v>
      </x:c>
      <x:c r="B23" s="29" t="n">
        <x:v>44897</x:v>
      </x:c>
      <x:c r="C23" s="27" t="str">
        <x:v>买入</x:v>
      </x:c>
      <x:c r="D23" s="30" t="n">
        <x:v>67.3235</x:v>
      </x:c>
      <x:c r="E23" s="30" t="n">
        <x:v>407.7982422828332</x:v>
      </x:c>
      <x:c r="F23" s="8" t="n">
        <x:v>27622.713714328318</x:v>
      </x:c>
      <x:c r="G23" s="8" t="n">
        <x:v>168.30874999999997</x:v>
      </x:c>
      <x:c r="H23" s="31" t="n">
        <x:v>0.55</x:v>
      </x:c>
      <x:c r="I23" s="1"/>
      <x:c r="J23" s="1"/>
    </x:row>
    <x:row r="24" ht="24" customHeight="1">
      <x:c r="A24" s="1" t="str">
        <x:v>建信A</x:v>
      </x:c>
      <x:c r="B24" s="29" t="n">
        <x:v>44930</x:v>
      </x:c>
      <x:c r="C24" s="27" t="str">
        <x:v>买入</x:v>
      </x:c>
      <x:c r="D24" s="30" t="n">
        <x:v>5040.92</x:v>
      </x:c>
      <x:c r="E24" s="30" t="n">
        <x:v>1.0036</x:v>
      </x:c>
      <x:c r="F24" s="8" t="n">
        <x:v>5066.655919089367</x:v>
      </x:c>
      <x:c r="G24" s="8" t="n">
        <x:v>7.588607089366633</x:v>
      </x:c>
      <x:c r="H24" s="31" t="n">
        <x:v>0.65</x:v>
      </x:c>
      <x:c r="I24" s="1"/>
      <x:c r="J24" s="1"/>
    </x:row>
    <x:row r="25" ht="24" customHeight="1">
      <x:c r="A25" s="1" t="str">
        <x:v>积存金代理</x:v>
      </x:c>
      <x:c r="B25" s="29" t="n">
        <x:v>44930</x:v>
      </x:c>
      <x:c r="C25" s="27" t="str">
        <x:v>买入</x:v>
      </x:c>
      <x:c r="D25" s="30" t="n">
        <x:v>12.2815</x:v>
      </x:c>
      <x:c r="E25" s="30" t="n">
        <x:v>412.92125808376494</x:v>
      </x:c>
      <x:c r="F25" s="8" t="n">
        <x:v>5101.996181155759</x:v>
      </x:c>
      <x:c r="G25" s="8" t="n">
        <x:v>30.70375</x:v>
      </x:c>
      <x:c r="H25" s="31" t="n">
        <x:v>0.65</x:v>
      </x:c>
      <x:c r="I25" s="1"/>
      <x:c r="J25" s="1"/>
    </x:row>
    <x:row r="26" ht="24" customHeight="1">
      <x:c r="A26" s="1" t="str">
        <x:v>建信A</x:v>
      </x:c>
      <x:c r="B26" s="29" t="n">
        <x:v>44959</x:v>
      </x:c>
      <x:c r="C26" s="27" t="str">
        <x:v>买入</x:v>
      </x:c>
      <x:c r="D26" s="30" t="n">
        <x:v>7284.77</x:v>
      </x:c>
      <x:c r="E26" s="30" t="n">
        <x:v>1.0313</x:v>
      </x:c>
      <x:c r="F26" s="8" t="n">
        <x:v>7524.052487220671</x:v>
      </x:c>
      <x:c r="G26" s="8" t="n">
        <x:v>11.269186220669326</x:v>
      </x:c>
      <x:c r="H26" s="31" t="n">
        <x:v>0.8</x:v>
      </x:c>
      <x:c r="I26" s="1"/>
      <x:c r="J26" s="1"/>
    </x:row>
    <x:row r="27" ht="24" customHeight="1">
      <x:c r="A27" s="1" t="str">
        <x:v>积存金代理</x:v>
      </x:c>
      <x:c r="B27" s="29" t="n">
        <x:v>44959</x:v>
      </x:c>
      <x:c r="C27" s="27" t="str">
        <x:v>买入</x:v>
      </x:c>
      <x:c r="D27" s="30" t="n">
        <x:v>17.2278</x:v>
      </x:c>
      <x:c r="E27" s="30" t="n">
        <x:v>423.6693478612892</x:v>
      </x:c>
      <x:c r="F27" s="8" t="n">
        <x:v>7341.960291084718</x:v>
      </x:c>
      <x:c r="G27" s="8" t="n">
        <x:v>43.0695</x:v>
      </x:c>
      <x:c r="H27" s="31" t="n">
        <x:v>0.8</x:v>
      </x:c>
      <x:c r="I27" s="1"/>
      <x:c r="J27" s="1"/>
    </x:row>
    <x:row r="28" ht="24" customHeight="1">
      <x:c r="A28" s="1" t="str">
        <x:v>建信A</x:v>
      </x:c>
      <x:c r="B28" s="29" t="n">
        <x:v>44987</x:v>
      </x:c>
      <x:c r="C28" s="27" t="str">
        <x:v>卖出</x:v>
      </x:c>
      <x:c r="D28" s="30" t="n">
        <x:v>4956.7</x:v>
      </x:c>
      <x:c r="E28" s="30" t="n">
        <x:v>1.0068</x:v>
      </x:c>
      <x:c r="F28" s="8" t="n">
        <x:v>4990.405559999999</x:v>
      </x:c>
      <x:c r="G28" s="8" t="n">
        <x:v>0</x:v>
      </x:c>
      <x:c r="H28" s="31" t="n">
        <x:v>0.7000000000000001</x:v>
      </x:c>
      <x:c r="I28" s="1"/>
      <x:c r="J28" s="1"/>
    </x:row>
    <x:row r="29" ht="24" customHeight="1">
      <x:c r="A29" s="1" t="str">
        <x:v>积存金代理</x:v>
      </x:c>
      <x:c r="B29" s="29" t="n">
        <x:v>44987</x:v>
      </x:c>
      <x:c r="C29" s="27" t="str">
        <x:v>卖出</x:v>
      </x:c>
      <x:c r="D29" s="30" t="n">
        <x:v>11.6521</x:v>
      </x:c>
      <x:c r="E29" s="30" t="n">
        <x:v>404.4711508232602</x:v>
      </x:c>
      <x:c r="F29" s="8" t="n">
        <x:v>4683.80804650771</x:v>
      </x:c>
      <x:c r="G29" s="8" t="n">
        <x:v>29.130250000000004</x:v>
      </x:c>
      <x:c r="H29" s="31" t="n">
        <x:v>0.7000000000000001</x:v>
      </x:c>
      <x:c r="I29" s="1"/>
      <x:c r="J29" s="1"/>
    </x:row>
    <x:row r="30" ht="24" customHeight="1">
      <x:c r="A30" s="1" t="str">
        <x:v>建信A</x:v>
      </x:c>
      <x:c r="B30" s="29" t="n">
        <x:v>45020</x:v>
      </x:c>
      <x:c r="C30" s="27" t="str">
        <x:v>卖出</x:v>
      </x:c>
      <x:c r="D30" s="30" t="n">
        <x:v>2992.38</x:v>
      </x:c>
      <x:c r="E30" s="30" t="n">
        <x:v>1.0668</x:v>
      </x:c>
      <x:c r="F30" s="8" t="n">
        <x:v>3192.270984</x:v>
      </x:c>
      <x:c r="G30" s="8" t="n">
        <x:v>0</x:v>
      </x:c>
      <x:c r="H30" s="31" t="n">
        <x:v>0.65</x:v>
      </x:c>
      <x:c r="I30" s="1"/>
      <x:c r="J30" s="1"/>
    </x:row>
    <x:row r="31" ht="24" customHeight="1">
      <x:c r="A31" s="1" t="str">
        <x:v>积存金代理</x:v>
      </x:c>
      <x:c r="B31" s="29" t="n">
        <x:v>45020</x:v>
      </x:c>
      <x:c r="C31" s="27" t="str">
        <x:v>卖出</x:v>
      </x:c>
      <x:c r="D31" s="30" t="n">
        <x:v>7.56</x:v>
      </x:c>
      <x:c r="E31" s="30" t="n">
        <x:v>438.2959367434248</x:v>
      </x:c>
      <x:c r="F31" s="8" t="n">
        <x:v>3294.6172817802913</x:v>
      </x:c>
      <x:c r="G31" s="8" t="n">
        <x:v>18.9</x:v>
      </x:c>
      <x:c r="H31" s="31" t="n">
        <x:v>0.65</x:v>
      </x:c>
      <x:c r="I31" s="1"/>
      <x:c r="J31" s="1"/>
    </x:row>
    <x:row r="32" ht="24" customHeight="1">
      <x:c r="A32" s="1" t="str">
        <x:v>建信A</x:v>
      </x:c>
      <x:c r="B32" s="29" t="n">
        <x:v>45050</x:v>
      </x:c>
      <x:c r="C32" s="27" t="str">
        <x:v>卖出</x:v>
      </x:c>
      <x:c r="D32" s="30" t="n">
        <x:v>2675.59</x:v>
      </x:c>
      <x:c r="E32" s="30" t="n">
        <x:v>1.098</x:v>
      </x:c>
      <x:c r="F32" s="8" t="n">
        <x:v>2937.7978200000002</x:v>
      </x:c>
      <x:c r="G32" s="8" t="n">
        <x:v>0</x:v>
      </x:c>
      <x:c r="H32" s="31" t="n">
        <x:v>0.6000000000000001</x:v>
      </x:c>
      <x:c r="I32" s="1"/>
      <x:c r="J32" s="1"/>
    </x:row>
    <x:row r="33" ht="24" customHeight="1">
      <x:c r="A33" s="1" t="str">
        <x:v>积存金代理</x:v>
      </x:c>
      <x:c r="B33" s="29" t="n">
        <x:v>45050</x:v>
      </x:c>
      <x:c r="C33" s="27" t="str">
        <x:v>卖出</x:v>
      </x:c>
      <x:c r="D33" s="30" t="n">
        <x:v>6.3896</x:v>
      </x:c>
      <x:c r="E33" s="30" t="n">
        <x:v>452.3715338303285</x:v>
      </x:c>
      <x:c r="F33" s="8" t="n">
        <x:v>2874.4991525622663</x:v>
      </x:c>
      <x:c r="G33" s="8" t="n">
        <x:v>15.974</x:v>
      </x:c>
      <x:c r="H33" s="31" t="n">
        <x:v>0.6000000000000001</x:v>
      </x:c>
      <x:c r="I33" s="1"/>
      <x:c r="J33" s="1"/>
    </x:row>
    <x:row r="34" ht="24" customHeight="1">
      <x:c r="A34" s="1" t="str">
        <x:v>建信A</x:v>
      </x:c>
      <x:c r="B34" s="29" t="n">
        <x:v>45079</x:v>
      </x:c>
      <x:c r="C34" s="27" t="str">
        <x:v>买入</x:v>
      </x:c>
      <x:c r="D34" s="30" t="n">
        <x:v>9799.92</x:v>
      </x:c>
      <x:c r="E34" s="30" t="n">
        <x:v>1.0907</x:v>
      </x:c>
      <x:c r="F34" s="8" t="n">
        <x:v>10704.805909252122</x:v>
      </x:c>
      <x:c r="G34" s="8" t="n">
        <x:v>16.033165252121762</x:v>
      </x:c>
      <x:c r="H34" s="31" t="n">
        <x:v>0.8</x:v>
      </x:c>
      <x:c r="I34" s="1"/>
      <x:c r="J34" s="1"/>
    </x:row>
    <x:row r="35" ht="24" customHeight="1">
      <x:c r="A35" s="1" t="str">
        <x:v>积存金代理</x:v>
      </x:c>
      <x:c r="B35" s="29" t="n">
        <x:v>45079</x:v>
      </x:c>
      <x:c r="C35" s="27" t="str">
        <x:v>买入</x:v>
      </x:c>
      <x:c r="D35" s="30" t="n">
        <x:v>22.9561</x:v>
      </x:c>
      <x:c r="E35" s="30" t="n">
        <x:v>451.7576270294143</x:v>
      </x:c>
      <x:c r="F35" s="8" t="n">
        <x:v>10427.983511849938</x:v>
      </x:c>
      <x:c r="G35" s="8" t="n">
        <x:v>57.390249999999995</x:v>
      </x:c>
      <x:c r="H35" s="31" t="n">
        <x:v>0.8</x:v>
      </x:c>
      <x:c r="I35" s="1"/>
      <x:c r="J35" s="1"/>
    </x:row>
    <x:row r="36" ht="24" customHeight="1">
      <x:c r="A36" s="1" t="str">
        <x:v>建信A</x:v>
      </x:c>
      <x:c r="B36" s="29" t="n">
        <x:v>45111</x:v>
      </x:c>
      <x:c r="C36" s="27" t="str">
        <x:v>买入</x:v>
      </x:c>
      <x:c r="D36" s="30" t="n">
        <x:v>2485.43</x:v>
      </x:c>
      <x:c r="E36" s="30" t="n">
        <x:v>1.0875</x:v>
      </x:c>
      <x:c r="F36" s="8" t="n">
        <x:v>2706.95949843984</x:v>
      </x:c>
      <x:c r="G36" s="8" t="n">
        <x:v>4.054373439840219</x:v>
      </x:c>
      <x:c r="H36" s="31" t="n">
        <x:v>0.8500000000000001</x:v>
      </x:c>
      <x:c r="I36" s="1"/>
      <x:c r="J36" s="1"/>
    </x:row>
    <x:row r="37" ht="24" customHeight="1">
      <x:c r="A37" s="1" t="str">
        <x:v>积存金代理</x:v>
      </x:c>
      <x:c r="B37" s="29" t="n">
        <x:v>45111</x:v>
      </x:c>
      <x:c r="C37" s="27" t="str">
        <x:v>买入</x:v>
      </x:c>
      <x:c r="D37" s="30" t="n">
        <x:v>5.9744</x:v>
      </x:c>
      <x:c r="E37" s="30" t="n">
        <x:v>449.1782090534408</x:v>
      </x:c>
      <x:c r="F37" s="8" t="n">
        <x:v>2698.506292168877</x:v>
      </x:c>
      <x:c r="G37" s="8" t="n">
        <x:v>14.936</x:v>
      </x:c>
      <x:c r="H37" s="31" t="n">
        <x:v>0.8500000000000001</x:v>
      </x:c>
      <x:c r="I37" s="1"/>
      <x:c r="J37" s="1"/>
    </x:row>
    <x:row r="38" ht="24" customHeight="1">
      <x:c r="A38" s="1" t="str">
        <x:v>建信A</x:v>
      </x:c>
      <x:c r="B38" s="29" t="n">
        <x:v>45173</x:v>
      </x:c>
      <x:c r="C38" s="27" t="str">
        <x:v>卖出</x:v>
      </x:c>
      <x:c r="D38" s="30" t="n">
        <x:v>42204.65</x:v>
      </x:c>
      <x:c r="E38" s="30" t="n">
        <x:v>1.121</x:v>
      </x:c>
      <x:c r="F38" s="8" t="n">
        <x:v>47311.41265</x:v>
      </x:c>
      <x:c r="G38" s="8" t="n">
        <x:v>0</x:v>
      </x:c>
      <x:c r="H38" s="31" t="n">
        <x:v>0</x:v>
      </x:c>
      <x:c r="I38" s="1"/>
      <x:c r="J38" s="1"/>
    </x:row>
    <x:row r="39" ht="24" customHeight="1">
      <x:c r="A39" s="1" t="str">
        <x:v>积存金代理</x:v>
      </x:c>
      <x:c r="B39" s="29" t="n">
        <x:v>45173</x:v>
      </x:c>
      <x:c r="C39" s="27" t="str">
        <x:v>卖出</x:v>
      </x:c>
      <x:c r="D39" s="30" t="n">
        <x:v>100.16159999999999</x:v>
      </x:c>
      <x:c r="E39" s="30" t="n">
        <x:v>445.8161156261798</x:v>
      </x:c>
      <x:c r="F39" s="8" t="n">
        <x:v>44403.25144690317</x:v>
      </x:c>
      <x:c r="G39" s="8" t="n">
        <x:v>250.40399999999997</x:v>
      </x:c>
      <x:c r="H39" s="31" t="n">
        <x:v>0</x:v>
      </x:c>
      <x:c r="I39" s="1"/>
      <x:c r="J39" s="1"/>
    </x:row>
    <x:row r="40" ht="24" customHeight="1">
      <x:c r="A40" s="1" t="str">
        <x:v>建信A</x:v>
      </x:c>
      <x:c r="B40" s="29" t="n">
        <x:v>45232</x:v>
      </x:c>
      <x:c r="C40" s="27" t="str">
        <x:v>买入</x:v>
      </x:c>
      <x:c r="D40" s="30" t="n">
        <x:v>41048.69</x:v>
      </x:c>
      <x:c r="E40" s="30" t="n">
        <x:v>1.1471</x:v>
      </x:c>
      <x:c r="F40" s="8" t="n">
        <x:v>47157.58273834099</x:v>
      </x:c>
      <x:c r="G40" s="8" t="n">
        <x:v>70.63043934098823</x:v>
      </x:c>
      <x:c r="H40" s="31" t="n">
        <x:v>0.8500000000000001</x:v>
      </x:c>
      <x:c r="I40" s="1"/>
      <x:c r="J40" s="1"/>
    </x:row>
    <x:row r="41" ht="24" customHeight="1">
      <x:c r="A41" s="1" t="str">
        <x:v>积存金代理</x:v>
      </x:c>
      <x:c r="B41" s="29" t="n">
        <x:v>45232</x:v>
      </x:c>
      <x:c r="C41" s="27" t="str">
        <x:v>买入</x:v>
      </x:c>
      <x:c r="D41" s="30" t="n">
        <x:v>94.6013</x:v>
      </x:c>
      <x:c r="E41" s="30" t="n">
        <x:v>467.2949690912079</x:v>
      </x:c>
      <x:c r="F41" s="8" t="n">
        <x:v>44443.21480948808</x:v>
      </x:c>
      <x:c r="G41" s="8" t="n">
        <x:v>236.50324999999998</x:v>
      </x:c>
      <x:c r="H41" s="31" t="n">
        <x:v>0.8500000000000001</x:v>
      </x:c>
      <x:c r="I41" s="1"/>
      <x:c r="J41" s="1"/>
    </x:row>
    <x:row r="42" ht="24" customHeight="1">
      <x:c r="A42" s="1" t="str">
        <x:v>建信A</x:v>
      </x:c>
      <x:c r="B42" s="29" t="n">
        <x:v>45294</x:v>
      </x:c>
      <x:c r="C42" s="27" t="str">
        <x:v>卖出</x:v>
      </x:c>
      <x:c r="D42" s="30" t="n">
        <x:v>7335.58</x:v>
      </x:c>
      <x:c r="E42" s="30" t="n">
        <x:v>1.1585</x:v>
      </x:c>
      <x:c r="F42" s="8" t="n">
        <x:v>8498.26943</x:v>
      </x:c>
      <x:c r="G42" s="8" t="n">
        <x:v>0</x:v>
      </x:c>
      <x:c r="H42" s="31" t="n">
        <x:v>0.7000000000000001</x:v>
      </x:c>
      <x:c r="I42" s="1"/>
      <x:c r="J42" s="1"/>
    </x:row>
    <x:row r="43" ht="24" customHeight="1">
      <x:c r="A43" s="1" t="str">
        <x:v>积存金代理</x:v>
      </x:c>
      <x:c r="B43" s="29" t="n">
        <x:v>45294</x:v>
      </x:c>
      <x:c r="C43" s="27" t="str">
        <x:v>卖出</x:v>
      </x:c>
      <x:c r="D43" s="30" t="n">
        <x:v>16.7376</x:v>
      </x:c>
      <x:c r="E43" s="30" t="n">
        <x:v>468.1918086110581</x:v>
      </x:c>
      <x:c r="F43" s="8" t="n">
        <x:v>7794.563215808446</x:v>
      </x:c>
      <x:c r="G43" s="8" t="n">
        <x:v>41.844</x:v>
      </x:c>
      <x:c r="H43" s="31" t="n">
        <x:v>0.7000000000000001</x:v>
      </x:c>
      <x:c r="I43" s="1"/>
      <x:c r="J43" s="1"/>
    </x:row>
    <x:row r="44" ht="24" customHeight="1">
      <x:c r="A44" s="1" t="str">
        <x:v>建信A</x:v>
      </x:c>
      <x:c r="B44" s="29" t="n">
        <x:v>45324</x:v>
      </x:c>
      <x:c r="C44" s="27" t="str">
        <x:v>买入</x:v>
      </x:c>
      <x:c r="D44" s="30" t="n">
        <x:v>4813.91</x:v>
      </x:c>
      <x:c r="E44" s="30" t="n">
        <x:v>1.1609</x:v>
      </x:c>
      <x:c r="F44" s="8" t="n">
        <x:v>5596.850834926111</x:v>
      </x:c>
      <x:c r="G44" s="8" t="n">
        <x:v>8.382715926110905</x:v>
      </x:c>
      <x:c r="H44" s="31" t="n">
        <x:v>0.8</x:v>
      </x:c>
      <x:c r="I44" s="1"/>
      <x:c r="J44" s="1"/>
    </x:row>
    <x:row r="45" ht="24" customHeight="1">
      <x:c r="A45" s="1" t="str">
        <x:v>积存金代理</x:v>
      </x:c>
      <x:c r="B45" s="29" t="n">
        <x:v>45324</x:v>
      </x:c>
      <x:c r="C45" s="27" t="str">
        <x:v>买入</x:v>
      </x:c>
      <x:c r="D45" s="30" t="n">
        <x:v>11.1891</x:v>
      </x:c>
      <x:c r="E45" s="30" t="n">
        <x:v>468.1533463492707</x:v>
      </x:c>
      <x:c r="F45" s="8" t="n">
        <x:v>5266.187357636624</x:v>
      </x:c>
      <x:c r="G45" s="8" t="n">
        <x:v>27.972749999999998</x:v>
      </x:c>
      <x:c r="H45" s="31" t="n">
        <x:v>0.8</x:v>
      </x:c>
      <x:c r="I45" s="1"/>
      <x:c r="J45" s="1"/>
    </x:row>
    <x:row r="46" ht="24" customHeight="1">
      <x:c r="A46" s="1" t="str">
        <x:v>建信A</x:v>
      </x:c>
      <x:c r="B46" s="29" t="n">
        <x:v>45355</x:v>
      </x:c>
      <x:c r="C46" s="27" t="str">
        <x:v>买入</x:v>
      </x:c>
      <x:c r="D46" s="30" t="n">
        <x:v>2363.85</x:v>
      </x:c>
      <x:c r="E46" s="30" t="n">
        <x:v>1.1731</x:v>
      </x:c>
      <x:c r="F46" s="8" t="n">
        <x:v>2777.191995659012</x:v>
      </x:c>
      <x:c r="G46" s="8" t="n">
        <x:v>4.159560659011731</x:v>
      </x:c>
      <x:c r="H46" s="31" t="n">
        <x:v>0.8500000000000001</x:v>
      </x:c>
      <x:c r="I46" s="1"/>
      <x:c r="J46" s="1"/>
    </x:row>
    <x:row r="47" ht="24" customHeight="1">
      <x:c r="A47" s="1" t="str">
        <x:v>积存金代理</x:v>
      </x:c>
      <x:c r="B47" s="29" t="n">
        <x:v>45355</x:v>
      </x:c>
      <x:c r="C47" s="27" t="str">
        <x:v>买入</x:v>
      </x:c>
      <x:c r="D47" s="30" t="n">
        <x:v>5.1338</x:v>
      </x:c>
      <x:c r="E47" s="30" t="n">
        <x:v>481.93745371945965</x:v>
      </x:c>
      <x:c r="F47" s="8" t="n">
        <x:v>2487.004999904962</x:v>
      </x:c>
      <x:c r="G47" s="8" t="n">
        <x:v>12.8345</x:v>
      </x:c>
      <x:c r="H47" s="31" t="n">
        <x:v>0.8500000000000001</x:v>
      </x:c>
      <x:c r="I47" s="1"/>
      <x:c r="J47" s="1"/>
    </x:row>
    <x:row r="48" ht="24" customHeight="1">
      <x:c r="A48" s="1" t="str">
        <x:v>建信A</x:v>
      </x:c>
      <x:c r="B48" s="29" t="n">
        <x:v>45385</x:v>
      </x:c>
      <x:c r="C48" s="27" t="str">
        <x:v>卖出</x:v>
      </x:c>
      <x:c r="D48" s="30" t="n">
        <x:v>10049.61</x:v>
      </x:c>
      <x:c r="E48" s="30" t="n">
        <x:v>1.2908</x:v>
      </x:c>
      <x:c r="F48" s="8" t="n">
        <x:v>12972.036588</x:v>
      </x:c>
      <x:c r="G48" s="8" t="n">
        <x:v>0</x:v>
      </x:c>
      <x:c r="H48" s="31" t="n">
        <x:v>0.65</x:v>
      </x:c>
      <x:c r="I48" s="1"/>
      <x:c r="J48" s="1"/>
    </x:row>
    <x:row r="49" ht="24" customHeight="1">
      <x:c r="A49" s="1" t="str">
        <x:v>积存金代理</x:v>
      </x:c>
      <x:c r="B49" s="29" t="n">
        <x:v>45385</x:v>
      </x:c>
      <x:c r="C49" s="27" t="str">
        <x:v>卖出</x:v>
      </x:c>
      <x:c r="D49" s="30" t="n">
        <x:v>23.2292</x:v>
      </x:c>
      <x:c r="E49" s="30" t="n">
        <x:v>528.0108159763448</x:v>
      </x:c>
      <x:c r="F49" s="8" t="n">
        <x:v>12207.195846477707</x:v>
      </x:c>
      <x:c r="G49" s="8" t="n">
        <x:v>58.07299999999999</x:v>
      </x:c>
      <x:c r="H49" s="31" t="n">
        <x:v>0.65</x:v>
      </x:c>
      <x:c r="I49" s="1"/>
      <x:c r="J49" s="1"/>
    </x:row>
    <x:row r="50" ht="24" customHeight="1">
      <x:c r="A50" s="1" t="str">
        <x:v>建信A</x:v>
      </x:c>
      <x:c r="B50" s="29" t="n">
        <x:v>45418</x:v>
      </x:c>
      <x:c r="C50" s="27" t="str">
        <x:v>卖出</x:v>
      </x:c>
      <x:c r="D50" s="30" t="n">
        <x:v>7271.85</x:v>
      </x:c>
      <x:c r="E50" s="30" t="n">
        <x:v>1.3016</x:v>
      </x:c>
      <x:c r="F50" s="8" t="n">
        <x:v>9465.039960000002</x:v>
      </x:c>
      <x:c r="G50" s="8" t="n">
        <x:v>0</x:v>
      </x:c>
      <x:c r="H50" s="31" t="n">
        <x:v>0.5</x:v>
      </x:c>
      <x:c r="I50" s="1"/>
      <x:c r="J50" s="1"/>
    </x:row>
    <x:row r="51" ht="24" customHeight="1">
      <x:c r="A51" s="1" t="str">
        <x:v>积存金代理</x:v>
      </x:c>
      <x:c r="B51" s="29" t="n">
        <x:v>45419</x:v>
      </x:c>
      <x:c r="C51" s="27" t="str">
        <x:v>卖出</x:v>
      </x:c>
      <x:c r="D51" s="30" t="n">
        <x:v>16.8287</x:v>
      </x:c>
      <x:c r="E51" s="30" t="n">
        <x:v>536.4840892606951</x:v>
      </x:c>
      <x:c r="F51" s="8" t="n">
        <x:v>8986.258042941461</x:v>
      </x:c>
      <x:c r="G51" s="8" t="n">
        <x:v>42.07175</x:v>
      </x:c>
      <x:c r="H51" s="31" t="n">
        <x:v>0.5</x:v>
      </x:c>
      <x:c r="I51" s="1"/>
      <x:c r="J51" s="1"/>
    </x:row>
    <x:row r="52" ht="24" customHeight="1">
      <x:c r="A52" s="1" t="str">
        <x:v>建信A</x:v>
      </x:c>
      <x:c r="B52" s="29" t="n">
        <x:v>45433</x:v>
      </x:c>
      <x:c r="C52" s="27" t="str">
        <x:v>卖出</x:v>
      </x:c>
      <x:c r="D52" s="30" t="n">
        <x:v>23569.41</x:v>
      </x:c>
      <x:c r="E52" s="30" t="n">
        <x:v>1.3584</x:v>
      </x:c>
      <x:c r="F52" s="8" t="n">
        <x:v>32016.686544</x:v>
      </x:c>
      <x:c r="G52" s="8" t="n">
        <x:v>0</x:v>
      </x:c>
      <x:c r="H52" s="31" t="n">
        <x:v>0</x:v>
      </x:c>
      <x:c r="I52" s="1"/>
      <x:c r="J52" s="1"/>
    </x:row>
    <x:row r="53" ht="24" customHeight="1">
      <x:c r="A53" s="1" t="str">
        <x:v>积存金代理</x:v>
      </x:c>
      <x:c r="B53" s="29" t="n">
        <x:v>45433</x:v>
      </x:c>
      <x:c r="C53" s="27" t="str">
        <x:v>卖出</x:v>
      </x:c>
      <x:c r="D53" s="30" t="n">
        <x:v>54.12869999999998</x:v>
      </x:c>
      <x:c r="E53" s="30" t="n">
        <x:v>561.9751277625451</x:v>
      </x:c>
      <x:c r="F53" s="8" t="n">
        <x:v>30283.661348120462</x:v>
      </x:c>
      <x:c r="G53" s="8" t="n">
        <x:v>135.32174999999995</x:v>
      </x:c>
      <x:c r="H53" s="31" t="n">
        <x:v>0</x:v>
      </x:c>
      <x:c r="I53" s="1"/>
      <x:c r="J53" s="1"/>
    </x:row>
    <x:row r="54" ht="24" customHeight="1">
      <x:c r="A54" s="1" t="str">
        <x:v>建信A</x:v>
      </x:c>
      <x:c r="B54" s="29" t="n">
        <x:v>45538</x:v>
      </x:c>
      <x:c r="C54" s="27" t="str">
        <x:v>买入</x:v>
      </x:c>
      <x:c r="D54" s="30" t="n">
        <x:v>36915.79</x:v>
      </x:c>
      <x:c r="E54" s="30" t="n">
        <x:v>1.3613</x:v>
      </x:c>
      <x:c r="F54" s="8" t="n">
        <x:v>50328.845131692964</x:v>
      </x:c>
      <x:c r="G54" s="8" t="n">
        <x:v>75.38020469296316</x:v>
      </x:c>
      <x:c r="H54" s="31" t="n">
        <x:v>0.8</x:v>
      </x:c>
      <x:c r="I54" s="1"/>
      <x:c r="J54" s="1"/>
    </x:row>
    <x:row r="55" ht="24" customHeight="1">
      <x:c r="A55" s="1" t="str">
        <x:v>积存金代理</x:v>
      </x:c>
      <x:c r="B55" s="29" t="n">
        <x:v>45538</x:v>
      </x:c>
      <x:c r="C55" s="27" t="str">
        <x:v>买入</x:v>
      </x:c>
      <x:c r="D55" s="30" t="n">
        <x:v>82.5534</x:v>
      </x:c>
      <x:c r="E55" s="30" t="n">
        <x:v>572.7536235329085</x:v>
      </x:c>
      <x:c r="F55" s="8" t="n">
        <x:v>47489.1424849616</x:v>
      </x:c>
      <x:c r="G55" s="8" t="n">
        <x:v>206.3835</x:v>
      </x:c>
      <x:c r="H55" s="31" t="n">
        <x:v>0.8</x:v>
      </x:c>
      <x:c r="I55" s="1"/>
      <x:c r="J55" s="1"/>
    </x:row>
    <x:row r="56" ht="24" customHeight="1">
      <x:c r="A56" s="1" t="str">
        <x:v>建信A</x:v>
      </x:c>
      <x:c r="B56" s="29" t="n">
        <x:v>45540</x:v>
      </x:c>
      <x:c r="C56" s="27" t="str">
        <x:v>卖出</x:v>
      </x:c>
      <x:c r="D56" s="30" t="n">
        <x:v>36915.79</x:v>
      </x:c>
      <x:c r="E56" s="30" t="n">
        <x:v>1.3608</x:v>
      </x:c>
      <x:c r="F56" s="8" t="n">
        <x:v>49481.48192652</x:v>
      </x:c>
      <x:c r="G56" s="8" t="n">
        <x:v>753.52510548</x:v>
      </x:c>
      <x:c r="H56" s="31" t="n">
        <x:v>0</x:v>
      </x:c>
      <x:c r="I56" s="1"/>
      <x:c r="J56" s="1"/>
    </x:row>
    <x:row r="57" ht="24" customHeight="1">
      <x:c r="A57" s="1" t="str">
        <x:v>积存金代理</x:v>
      </x:c>
      <x:c r="B57" s="29" t="n">
        <x:v>45540</x:v>
      </x:c>
      <x:c r="C57" s="27" t="str">
        <x:v>卖出</x:v>
      </x:c>
      <x:c r="D57" s="30" t="n">
        <x:v>82.5534</x:v>
      </x:c>
      <x:c r="E57" s="30" t="n">
        <x:v>575.4850256612019</x:v>
      </x:c>
      <x:c r="F57" s="8" t="n">
        <x:v>47301.86201741946</x:v>
      </x:c>
      <x:c r="G57" s="8" t="n">
        <x:v>206.3835</x:v>
      </x:c>
      <x:c r="H57" s="31" t="n">
        <x:v>0</x:v>
      </x:c>
      <x:c r="I57" s="1"/>
      <x:c r="J57" s="1"/>
    </x:row>
    <x:row r="58" ht="24" customHeight="1">
      <x:c r="A58" s="1" t="str">
        <x:v>建信A</x:v>
      </x:c>
      <x:c r="B58" s="29" t="n">
        <x:v>45573</x:v>
      </x:c>
      <x:c r="C58" s="27" t="str">
        <x:v>买入</x:v>
      </x:c>
      <x:c r="D58" s="30" t="n">
        <x:v>37272.89</x:v>
      </x:c>
      <x:c r="E58" s="30" t="n">
        <x:v>1.4132</x:v>
      </x:c>
      <x:c r="F58" s="8" t="n">
        <x:v>52753.05922138992</x:v>
      </x:c>
      <x:c r="G58" s="8" t="n">
        <x:v>79.01107338992006</x:v>
      </x:c>
      <x:c r="H58" s="31" t="n">
        <x:v>0.8500000000000001</x:v>
      </x:c>
      <x:c r="I58" s="1"/>
      <x:c r="J58" s="1"/>
    </x:row>
    <x:row r="59" ht="24" customHeight="1">
      <x:c r="A59" s="1" t="str">
        <x:v>积存金代理</x:v>
      </x:c>
      <x:c r="B59" s="29" t="n">
        <x:v>45573</x:v>
      </x:c>
      <x:c r="C59" s="27" t="str">
        <x:v>买入</x:v>
      </x:c>
      <x:c r="D59" s="30" t="n">
        <x:v>84.0887</x:v>
      </x:c>
      <x:c r="E59" s="30" t="n">
        <x:v>595.6541472372347</x:v>
      </x:c>
      <x:c r="F59" s="8" t="n">
        <x:v>50298.00464078766</x:v>
      </x:c>
      <x:c r="G59" s="8" t="n">
        <x:v>210.22175000000001</x:v>
      </x:c>
      <x:c r="H59" s="31" t="n">
        <x:v>0.8500000000000001</x:v>
      </x:c>
      <x:c r="I59" s="1"/>
      <x:c r="J59" s="1"/>
    </x:row>
    <x:row r="60" ht="24" customHeight="1">
      <x:c r="A60" s="1" t="str">
        <x:v>建信A</x:v>
      </x:c>
      <x:c r="B60" s="29" t="n">
        <x:v>45629</x:v>
      </x:c>
      <x:c r="C60" s="27" t="str">
        <x:v>卖出</x:v>
      </x:c>
      <x:c r="D60" s="30" t="n">
        <x:v>11110.39</x:v>
      </x:c>
      <x:c r="E60" s="30" t="n">
        <x:v>1.4684</x:v>
      </x:c>
      <x:c r="F60" s="8" t="n">
        <x:v>16314.496675999999</x:v>
      </x:c>
      <x:c r="G60" s="8" t="n">
        <x:v>0</x:v>
      </x:c>
      <x:c r="H60" s="31" t="n">
        <x:v>0.6000000000000001</x:v>
      </x:c>
      <x:c r="I60" s="1"/>
      <x:c r="J60" s="1"/>
    </x:row>
    <x:row r="61" ht="24" customHeight="1">
      <x:c r="A61" s="1" t="str">
        <x:v>积存金代理</x:v>
      </x:c>
      <x:c r="B61" s="29" t="n">
        <x:v>45629</x:v>
      </x:c>
      <x:c r="C61" s="27" t="str">
        <x:v>卖出</x:v>
      </x:c>
      <x:c r="D61" s="30" t="n">
        <x:v>24.9607</x:v>
      </x:c>
      <x:c r="E61" s="30" t="n">
        <x:v>618.3898615978493</x:v>
      </x:c>
      <x:c r="F61" s="8" t="n">
        <x:v>15373.042068385435</x:v>
      </x:c>
      <x:c r="G61" s="8" t="n">
        <x:v>62.40175</x:v>
      </x:c>
      <x:c r="H61" s="31" t="n">
        <x:v>0.6000000000000001</x:v>
      </x:c>
      <x:c r="I61" s="1"/>
      <x:c r="J61" s="1"/>
    </x:row>
    <x:row r="62" ht="24" customHeight="1">
      <x:c r="A62" s="1" t="str">
        <x:v>建信A</x:v>
      </x:c>
      <x:c r="B62" s="29" t="n">
        <x:v>45693</x:v>
      </x:c>
      <x:c r="C62" s="27" t="str">
        <x:v>买入</x:v>
      </x:c>
      <x:c r="D62" s="30" t="n">
        <x:v>9892.4</x:v>
      </x:c>
      <x:c r="E62" s="30" t="n">
        <x:v>1.5857</x:v>
      </x:c>
      <x:c r="F62" s="8" t="n">
        <x:v>15709.908250644035</x:v>
      </x:c>
      <x:c r="G62" s="8" t="n">
        <x:v>23.52957064403563</x:v>
      </x:c>
      <x:c r="H62" s="31" t="n">
        <x:v>0.8500000000000001</x:v>
      </x:c>
      <x:c r="I62" s="1"/>
      <x:c r="J62" s="1"/>
    </x:row>
    <x:row r="63" ht="24" customHeight="1">
      <x:c r="A63" s="1" t="str">
        <x:v>积存金代理</x:v>
      </x:c>
      <x:c r="B63" s="29" t="n">
        <x:v>45693</x:v>
      </x:c>
      <x:c r="C63" s="27" t="str">
        <x:v>买入</x:v>
      </x:c>
      <x:c r="D63" s="30" t="n">
        <x:v>22.365</x:v>
      </x:c>
      <x:c r="E63" s="30" t="n">
        <x:v>663.5703276156296</x:v>
      </x:c>
      <x:c r="F63" s="8" t="n">
        <x:v>14896.662877123556</x:v>
      </x:c>
      <x:c r="G63" s="8" t="n">
        <x:v>55.912499999999994</x:v>
      </x:c>
      <x:c r="H63" s="31" t="n">
        <x:v>0.8500000000000001</x:v>
      </x:c>
      <x:c r="I63" s="1"/>
      <x:c r="J63" s="1"/>
    </x:row>
    <x:row r="64" ht="24" customHeight="1">
      <x:c r="A64" s="1" t="str">
        <x:v>建信A</x:v>
      </x:c>
      <x:c r="B64" s="29" t="n">
        <x:v>45749</x:v>
      </x:c>
      <x:c r="C64" s="27" t="str">
        <x:v>卖出</x:v>
      </x:c>
      <x:c r="D64" s="30" t="n">
        <x:v>2699.98</x:v>
      </x:c>
      <x:c r="E64" s="30" t="n">
        <x:v>1.7357</x:v>
      </x:c>
      <x:c r="F64" s="8" t="n">
        <x:v>4686.355286</x:v>
      </x:c>
      <x:c r="G64" s="8" t="n">
        <x:v>0</x:v>
      </x:c>
      <x:c r="H64" s="31" t="n">
        <x:v>0.8</x:v>
      </x:c>
      <x:c r="I64" s="1"/>
      <x:c r="J64" s="1"/>
    </x:row>
    <x:row r="65" ht="24" customHeight="1">
      <x:c r="A65" s="1" t="str">
        <x:v>积存金代理</x:v>
      </x:c>
      <x:c r="B65" s="29" t="n">
        <x:v>45749</x:v>
      </x:c>
      <x:c r="C65" s="27" t="str">
        <x:v>卖出</x:v>
      </x:c>
      <x:c r="D65" s="30" t="n">
        <x:v>6.0577</x:v>
      </x:c>
      <x:c r="E65" s="30" t="n">
        <x:v>730.8737762223254</x:v>
      </x:c>
      <x:c r="F65" s="8" t="n">
        <x:v>4412.26982422198</x:v>
      </x:c>
      <x:c r="G65" s="8" t="n">
        <x:v>15.14425</x:v>
      </x:c>
      <x:c r="H65" s="31" t="n">
        <x:v>0.8</x:v>
      </x:c>
      <x:c r="I65" s="1"/>
      <x:c r="J65" s="1"/>
    </x:row>
    <x:row r="66" ht="24" customHeight="1">
      <x:c r="A66" s="1" t="str">
        <x:v>建信A</x:v>
      </x:c>
      <x:c r="B66" s="29" t="n">
        <x:v>45783</x:v>
      </x:c>
      <x:c r="C66" s="27" t="str">
        <x:v>卖出</x:v>
      </x:c>
      <x:c r="D66" s="30" t="n">
        <x:v>14811.23</x:v>
      </x:c>
      <x:c r="E66" s="30" t="n">
        <x:v>1.8796</x:v>
      </x:c>
      <x:c r="F66" s="8" t="n">
        <x:v>27839.187908</x:v>
      </x:c>
      <x:c r="G66" s="8" t="n">
        <x:v>0</x:v>
      </x:c>
      <x:c r="H66" s="31" t="n">
        <x:v>0.45</x:v>
      </x:c>
      <x:c r="I66" s="1"/>
      <x:c r="J66" s="1"/>
    </x:row>
    <x:row r="67" ht="24" customHeight="1">
      <x:c r="A67" s="1" t="str">
        <x:v>积存金代理</x:v>
      </x:c>
      <x:c r="B67" s="29" t="n">
        <x:v>45783</x:v>
      </x:c>
      <x:c r="C67" s="27" t="str">
        <x:v>卖出</x:v>
      </x:c>
      <x:c r="D67" s="30" t="n">
        <x:v>33.4194</x:v>
      </x:c>
      <x:c r="E67" s="30" t="n">
        <x:v>789.4080328531684</x:v>
      </x:c>
      <x:c r="F67" s="8" t="n">
        <x:v>26297.99431313318</x:v>
      </x:c>
      <x:c r="G67" s="8" t="n">
        <x:v>83.5485</x:v>
      </x:c>
      <x:c r="H67" s="31" t="n">
        <x:v>0.45</x:v>
      </x:c>
      <x:c r="I67" s="1"/>
      <x:c r="J67" s="1"/>
    </x:row>
    <x:row r="68" ht="24" customHeight="1">
      <x:c r="A68" s="1" t="str">
        <x:v>建信A</x:v>
      </x:c>
      <x:c r="B68" s="29" t="n">
        <x:v>45811</x:v>
      </x:c>
      <x:c r="C68" s="27" t="str">
        <x:v>卖出</x:v>
      </x:c>
      <x:c r="D68" s="30" t="n">
        <x:v>1831.53</x:v>
      </x:c>
      <x:c r="E68" s="30" t="n">
        <x:v>1.85</x:v>
      </x:c>
      <x:c r="F68" s="8" t="n">
        <x:v>3388.3305</x:v>
      </x:c>
      <x:c r="G68" s="8" t="n">
        <x:v>0</x:v>
      </x:c>
      <x:c r="H68" s="31" t="n">
        <x:v>0.4</x:v>
      </x:c>
      <x:c r="I68" s="1"/>
      <x:c r="J68" s="1"/>
    </x:row>
    <x:row r="69" ht="24" customHeight="1">
      <x:c r="A69" s="1" t="str">
        <x:v>积存金代理</x:v>
      </x:c>
      <x:c r="B69" s="29" t="n">
        <x:v>45811</x:v>
      </x:c>
      <x:c r="C69" s="27" t="str">
        <x:v>卖出</x:v>
      </x:c>
      <x:c r="D69" s="30" t="n">
        <x:v>4.2012</x:v>
      </x:c>
      <x:c r="E69" s="30" t="n">
        <x:v>777.7736783542115</x:v>
      </x:c>
      <x:c r="F69" s="8" t="n">
        <x:v>3257.079777501713</x:v>
      </x:c>
      <x:c r="G69" s="8" t="n">
        <x:v>10.503</x:v>
      </x:c>
      <x:c r="H69" s="31" t="n">
        <x:v>0.4</x:v>
      </x:c>
      <x:c r="I69" s="1"/>
      <x:c r="J69" s="1"/>
    </x:row>
    <x:row r="70" ht="24" customHeight="1">
      <x:c r="A70" s="1" t="str">
        <x:v>建信A</x:v>
      </x:c>
      <x:c r="B70" s="29" t="n">
        <x:v>45840</x:v>
      </x:c>
      <x:c r="C70" s="27" t="str">
        <x:v>买入</x:v>
      </x:c>
      <x:c r="D70" s="30" t="n">
        <x:v>6229.57</x:v>
      </x:c>
      <x:c r="E70" s="30" t="n">
        <x:v>1.8301</x:v>
      </x:c>
      <x:c r="F70" s="8" t="n">
        <x:v>11417.837165337494</x:v>
      </x:c>
      <x:c r="G70" s="8" t="n">
        <x:v>17.101108337494225</x:v>
      </x:c>
      <x:c r="H70" s="31" t="n">
        <x:v>0.55</x:v>
      </x:c>
      <x:c r="I70" s="1"/>
      <x:c r="J70" s="1"/>
    </x:row>
    <x:row r="71" ht="24" customHeight="1">
      <x:c r="A71" s="1" t="str">
        <x:v>积存金代理</x:v>
      </x:c>
      <x:c r="B71" s="29" t="n">
        <x:v>45840</x:v>
      </x:c>
      <x:c r="C71" s="27" t="str">
        <x:v>买入</x:v>
      </x:c>
      <x:c r="D71" s="30" t="n">
        <x:v>13.8994</x:v>
      </x:c>
      <x:c r="E71" s="30" t="n">
        <x:v>769.0035488120333</x:v>
      </x:c>
      <x:c r="F71" s="8" t="n">
        <x:v>10723.436426357976</x:v>
      </x:c>
      <x:c r="G71" s="8" t="n">
        <x:v>34.7485</x:v>
      </x:c>
      <x:c r="H71" s="31" t="n">
        <x:v>0.55</x:v>
      </x:c>
      <x:c r="I71" s="1"/>
      <x:c r="J71" s="1"/>
    </x:row>
    <x:row r="72" ht="24" customHeight="1">
      <x:c r="A72" s="1" t="str">
        <x:v>建信A</x:v>
      </x:c>
      <x:c r="B72" s="29" t="n">
        <x:v>45873</x:v>
      </x:c>
      <x:c r="C72" s="27" t="str">
        <x:v>买入</x:v>
      </x:c>
      <x:c r="D72" s="30" t="n">
        <x:v>8310.78</x:v>
      </x:c>
      <x:c r="E72" s="30" t="n">
        <x:v>1.842</x:v>
      </x:c>
      <x:c r="F72" s="8" t="n">
        <x:v>15331.41946094858</x:v>
      </x:c>
      <x:c r="G72" s="8" t="n">
        <x:v>22.96270094857755</x:v>
      </x:c>
      <x:c r="H72" s="31" t="n">
        <x:v>0.75</x:v>
      </x:c>
      <x:c r="I72" s="1"/>
      <x:c r="J72" s="1"/>
    </x:row>
    <x:row r="73" ht="24" customHeight="1">
      <x:c r="A73" s="1" t="str">
        <x:v>积存金代理</x:v>
      </x:c>
      <x:c r="B73" s="29" t="n">
        <x:v>45873</x:v>
      </x:c>
      <x:c r="C73" s="27" t="str">
        <x:v>买入</x:v>
      </x:c>
      <x:c r="D73" s="30" t="n">
        <x:v>18.6685</x:v>
      </x:c>
      <x:c r="E73" s="30" t="n">
        <x:v>778.8236843752255</x:v>
      </x:c>
      <x:c r="F73" s="8" t="n">
        <x:v>14586.1412017589</x:v>
      </x:c>
      <x:c r="G73" s="8" t="n">
        <x:v>46.67125</x:v>
      </x:c>
      <x:c r="H73" s="31" t="n">
        <x:v>0.75</x:v>
      </x:c>
      <x:c r="I73" s="1"/>
      <x:c r="J73" s="1"/>
    </x:row>
    <x:row r="74" ht="24" customHeight="1">
      <x:c r="A74" s="1" t="str">
        <x:v>建信A</x:v>
      </x:c>
      <x:c r="B74" s="29" t="n">
        <x:v>45902</x:v>
      </x:c>
      <x:c r="C74" s="27" t="str">
        <x:v>买入</x:v>
      </x:c>
      <x:c r="D74" s="30" t="n">
        <x:v>1804.29</x:v>
      </x:c>
      <x:c r="E74" s="30" t="n">
        <x:v>1.8955</x:v>
      </x:c>
      <x:c r="F74" s="8" t="n">
        <x:v>3425.1617698876685</x:v>
      </x:c>
      <x:c r="G74" s="8" t="n">
        <x:v>5.130074887668798</x:v>
      </x:c>
      <x:c r="H74" s="31" t="n">
        <x:v>0.8</x:v>
      </x:c>
      <x:c r="I74" s="1"/>
      <x:c r="J74" s="1"/>
    </x:row>
    <x:row r="75" ht="24" customHeight="1">
      <x:c r="A75" s="1" t="str">
        <x:v>积存金代理</x:v>
      </x:c>
      <x:c r="B75" s="29" t="n">
        <x:v>45902</x:v>
      </x:c>
      <x:c r="C75" s="27" t="str">
        <x:v>买入</x:v>
      </x:c>
      <x:c r="D75" s="30" t="n">
        <x:v>4.0188</x:v>
      </x:c>
      <x:c r="E75" s="30" t="n">
        <x:v>797.323462850954</x:v>
      </x:c>
      <x:c r="F75" s="8" t="n">
        <x:v>3214.330532505414</x:v>
      </x:c>
      <x:c r="G75" s="8" t="n">
        <x:v>10.046999999999999</x:v>
      </x:c>
      <x:c r="H75" s="31" t="n">
        <x:v>0.8</x:v>
      </x:c>
      <x:c r="I75" s="1"/>
      <x:c r="J75" s="1"/>
    </x:row>
    <x:row r="76" ht="24" customHeight="1">
      <x:c r="A76" s="1" t="str">
        <x:v>建信A</x:v>
      </x:c>
      <x:c r="B76" s="29" t="n">
        <x:v>45939</x:v>
      </x:c>
      <x:c r="C76" s="27" t="str">
        <x:v>卖出</x:v>
      </x:c>
      <x:c r="D76" s="30" t="n">
        <x:v>2611.6</x:v>
      </x:c>
      <x:c r="E76" s="30" t="n">
        <x:v>2.1555</x:v>
      </x:c>
      <x:c r="F76" s="8" t="n">
        <x:v>5629.3038</x:v>
      </x:c>
      <x:c r="G76" s="8" t="n">
        <x:v>0</x:v>
      </x:c>
      <x:c r="H76" s="31" t="n">
        <x:v>0.75</x:v>
      </x:c>
      <x:c r="I76" s="1"/>
      <x:c r="J76" s="1"/>
    </x:row>
    <x:row r="77" ht="24" customHeight="1">
      <x:c r="A77" s="1" t="str">
        <x:v>积存金代理</x:v>
      </x:c>
      <x:c r="B77" s="29" t="n">
        <x:v>45939</x:v>
      </x:c>
      <x:c r="C77" s="27" t="str">
        <x:v>卖出</x:v>
      </x:c>
      <x:c r="D77" s="30" t="n">
        <x:v>5.8641</x:v>
      </x:c>
      <x:c r="E77" s="30" t="n">
        <x:v>924.752310655946</x:v>
      </x:c>
      <x:c r="F77" s="8" t="n">
        <x:v>5408.179774917532</x:v>
      </x:c>
      <x:c r="G77" s="8" t="n">
        <x:v>14.66025</x:v>
      </x:c>
      <x:c r="H77" s="31" t="n">
        <x:v>0.75</x:v>
      </x:c>
      <x:c r="I77" s="1"/>
      <x:c r="J77" s="1"/>
    </x:row>
    <x:row r="78" ht="24" customHeight="1">
      <x:c r="A78" s="1" t="str">
        <x:v>建信A</x:v>
      </x:c>
      <x:c r="B78" s="29" t="n">
        <x:v>45965</x:v>
      </x:c>
      <x:c r="C78" s="27" t="str">
        <x:v>卖出</x:v>
      </x:c>
      <x:c r="D78" s="30" t="n">
        <x:v>14365.66</x:v>
      </x:c>
      <x:c r="E78" s="30" t="n">
        <x:v>2.1595</x:v>
      </x:c>
      <x:c r="F78" s="8" t="n">
        <x:v>31022.64277</x:v>
      </x:c>
      <x:c r="G78" s="8" t="n">
        <x:v>0</x:v>
      </x:c>
      <x:c r="H78" s="31" t="n">
        <x:v>0.4</x:v>
      </x:c>
      <x:c r="I78" s="1"/>
      <x:c r="J78" s="1"/>
    </x:row>
    <x:row r="79" ht="24" customHeight="1">
      <x:c r="A79" s="1" t="str">
        <x:v>积存金代理</x:v>
      </x:c>
      <x:c r="B79" s="29" t="n">
        <x:v>45965</x:v>
      </x:c>
      <x:c r="C79" s="27" t="str">
        <x:v>卖出</x:v>
      </x:c>
      <x:c r="D79" s="30" t="n">
        <x:v>32.2794</x:v>
      </x:c>
      <x:c r="E79" s="30" t="n">
        <x:v>920.6316898073504</x:v>
      </x:c>
      <x:c r="F79" s="8" t="n">
        <x:v>29636.740067967392</x:v>
      </x:c>
      <x:c r="G79" s="8" t="n">
        <x:v>80.69850000000001</x:v>
      </x:c>
      <x:c r="H79" s="31" t="n">
        <x:v>0.4</x:v>
      </x:c>
      <x:c r="I79" s="1"/>
      <x:c r="J79" s="1"/>
    </x:row>
    <x:row r="80" ht="24" customHeight="1">
      <x:c r="A80" s="1" t="str">
        <x:v>建信A</x:v>
      </x:c>
      <x:c r="B80" s="29" t="n">
        <x:v>46028</x:v>
      </x:c>
      <x:c r="C80" s="27" t="str">
        <x:v>买入</x:v>
      </x:c>
      <x:c r="D80" s="30" t="n">
        <x:v>4969.34</x:v>
      </x:c>
      <x:c r="E80" s="30" t="n">
        <x:v>2.3666</x:v>
      </x:c>
      <x:c r="F80" s="8" t="n">
        <x:v>11778.080732966551</x:v>
      </x:c>
      <x:c r="G80" s="8" t="n">
        <x:v>17.640688966550442</x:v>
      </x:c>
      <x:c r="H80" s="31" t="n">
        <x:v>0.55</x:v>
      </x:c>
      <x:c r="I80" s="1"/>
      <x:c r="J80" s="1"/>
    </x:row>
    <x:row r="81" ht="24" customHeight="1">
      <x:c r="A81" s="1" t="str">
        <x:v>积存金代理</x:v>
      </x:c>
      <x:c r="B81" s="29" t="n">
        <x:v>46028</x:v>
      </x:c>
      <x:c r="C81" s="27" t="str">
        <x:v>买入</x:v>
      </x:c>
      <x:c r="D81" s="30" t="n">
        <x:v>11.1047</x:v>
      </x:c>
      <x:c r="E81" s="30" t="n">
        <x:v>1000.3967346284048</x:v>
      </x:c>
      <x:c r="F81" s="8" t="n">
        <x:v>11136.867369028047</x:v>
      </x:c>
      <x:c r="G81" s="8" t="n">
        <x:v>27.76175</x:v>
      </x:c>
      <x:c r="H81" s="31" t="n">
        <x:v>0.55</x:v>
      </x:c>
      <x:c r="I81" s="1"/>
      <x:c r="J81" s="1"/>
    </x:row>
    <x:row r="82" ht="24" customHeight="1">
      <x:c r="A82" s="1" t="str">
        <x:v>建信A</x:v>
      </x:c>
      <x:c r="B82" s="29" t="n">
        <x:v>46056</x:v>
      </x:c>
      <x:c r="C82" s="27" t="str">
        <x:v>卖出</x:v>
      </x:c>
      <x:c r="D82" s="30" t="n">
        <x:v>21048.88</x:v>
      </x:c>
      <x:c r="E82" s="30" t="n">
        <x:v>2.5756</x:v>
      </x:c>
      <x:c r="F82" s="8" t="n">
        <x:v>54149.50016748001</x:v>
      </x:c>
      <x:c r="G82" s="8" t="n">
        <x:v>63.99516052000001</x:v>
      </x:c>
      <x:c r="H82" s="31" t="n">
        <x:v>0</x:v>
      </x:c>
      <x:c r="I82" s="1"/>
      <x:c r="J82" s="1"/>
    </x:row>
    <x:row r="83" ht="24" customHeight="1">
      <x:c r="A83" s="1" t="str">
        <x:v>积存金代理</x:v>
      </x:c>
      <x:c r="B83" s="29" t="n">
        <x:v>46056</x:v>
      </x:c>
      <x:c r="C83" s="27" t="str">
        <x:v>卖出</x:v>
      </x:c>
      <x:c r="D83" s="30" t="n">
        <x:v>47.36259999999999</x:v>
      </x:c>
      <x:c r="E83" s="30" t="n">
        <x:v>1099.5925105550073</x:v>
      </x:c>
      <x:c r="F83" s="8" t="n">
        <x:v>51961.153740412585</x:v>
      </x:c>
      <x:c r="G83" s="8" t="n">
        <x:v>118.4065</x:v>
      </x:c>
      <x:c r="H83" s="31" t="n">
        <x:v>0</x:v>
      </x:c>
      <x:c r="I83" s="1"/>
      <x:c r="J83" s="1"/>
    </x:row>
    <x:row r="84" ht="24" customHeight="1">
      <x:c r="A84" s="1" t="str">
        <x:v>建信A</x:v>
      </x:c>
      <x:c r="B84" s="29" t="n">
        <x:v>46084</x:v>
      </x:c>
      <x:c r="C84" s="27" t="str">
        <x:v>买入</x:v>
      </x:c>
      <x:c r="D84" s="30" t="n">
        <x:v>8470.39</x:v>
      </x:c>
      <x:c r="E84" s="30" t="n">
        <x:v>2.7916</x:v>
      </x:c>
      <x:c r="F84" s="8" t="n">
        <x:v>23681.409650610083</x:v>
      </x:c>
      <x:c r="G84" s="8" t="n">
        <x:v>35.46892661008678</x:v>
      </x:c>
      <x:c r="H84" s="31" t="n">
        <x:v>0.25</x:v>
      </x:c>
      <x:c r="I84" s="1"/>
      <x:c r="J84" s="1"/>
    </x:row>
    <x:row r="85" ht="24" customHeight="1">
      <x:c r="A85" s="1" t="str">
        <x:v>积存金代理</x:v>
      </x:c>
      <x:c r="B85" s="29" t="n">
        <x:v>46084</x:v>
      </x:c>
      <x:c r="C85" s="27" t="str">
        <x:v>买入</x:v>
      </x:c>
      <x:c r="D85" s="30" t="n">
        <x:v>19.4057</x:v>
      </x:c>
      <x:c r="E85" s="30" t="n">
        <x:v>1165.5167450362208</x:v>
      </x:c>
      <x:c r="F85" s="8" t="n">
        <x:v>22666.182549149387</x:v>
      </x:c>
      <x:c r="G85" s="8" t="n">
        <x:v>48.51425</x:v>
      </x:c>
      <x:c r="H85" s="31" t="n">
        <x:v>0.25</x:v>
      </x:c>
      <x:c r="I85" s="1"/>
      <x:c r="J85" s="1"/>
    </x:row>
    <x:row r="86" ht="24" customHeight="1">
      <x:c r="A86" s="1" t="str">
        <x:v>建信A</x:v>
      </x:c>
      <x:c r="B86" s="29" t="n">
        <x:v>46101</x:v>
      </x:c>
      <x:c r="C86" s="27" t="str">
        <x:v>卖出</x:v>
      </x:c>
      <x:c r="D86" s="30" t="n">
        <x:v>8470.39</x:v>
      </x:c>
      <x:c r="E86" s="30" t="n">
        <x:v>2.457</x:v>
      </x:c>
      <x:c r="F86" s="8" t="n">
        <x:v>20707.68948885</x:v>
      </x:c>
      <x:c r="G86" s="8" t="n">
        <x:v>104.05874114999999</x:v>
      </x:c>
      <x:c r="H86" s="31" t="n">
        <x:v>0</x:v>
      </x:c>
      <x:c r="I86" s="1"/>
      <x:c r="J86" s="1"/>
    </x:row>
    <x:row r="87" ht="24" customHeight="1">
      <x:c r="A87" s="1" t="str">
        <x:v>积存金代理</x:v>
      </x:c>
      <x:c r="B87" s="29" t="n">
        <x:v>46101</x:v>
      </x:c>
      <x:c r="C87" s="27" t="str">
        <x:v>卖出</x:v>
      </x:c>
      <x:c r="D87" s="30" t="n">
        <x:v>19.4057</x:v>
      </x:c>
      <x:c r="E87" s="30" t="n">
        <x:v>1031.6820607130717</x:v>
      </x:c>
      <x:c r="F87" s="8" t="n">
        <x:v>19971.998315579654</x:v>
      </x:c>
      <x:c r="G87" s="8" t="n">
        <x:v>48.51425</x:v>
      </x:c>
      <x:c r="H87" s="31" t="n">
        <x:v>0</x:v>
      </x:c>
      <x:c r="I87" s="1"/>
      <x:c r="J87" s="1"/>
    </x:row>
    <x:row r="88" ht="24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 ht="24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 ht="24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 ht="24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 ht="24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 ht="24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 ht="24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 ht="24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 ht="24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 ht="24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 ht="24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 ht="24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 ht="24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  <x:row r="101" ht="24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</x:row>
    <x:row r="102" ht="24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 ht="24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  <x:row r="104" ht="24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</x:row>
    <x:row r="105" ht="24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</x:row>
    <x:row r="106" ht="24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</x:sheetData>
  <x:pageMargins left="0.7" right="0.7" top="0.75" bottom="0.75" header="0.3" footer="0.3"/>
</x:worksheet>
</file>